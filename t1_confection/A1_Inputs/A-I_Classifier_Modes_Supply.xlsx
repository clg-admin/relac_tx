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LG_Repositorio\ndc_cr_30\t1_confection\A1_Inputs\"/>
    </mc:Choice>
  </mc:AlternateContent>
  <xr:revisionPtr revIDLastSave="0" documentId="13_ncr:1_{96F74A65-9014-453D-A372-FE17FBE0E65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rimaryEnergy" sheetId="1" r:id="rId1"/>
    <sheet name="README" sheetId="2" r:id="rId2"/>
    <sheet name="SecondaryEnergy" sheetId="3" r:id="rId3"/>
  </sheets>
  <definedNames>
    <definedName name="_xlnm._FilterDatabase" localSheetId="0" hidden="1">PrimaryEnergy!$A$1:$K$1</definedName>
    <definedName name="_xlnm._FilterDatabase" localSheetId="2" hidden="1">SecondaryEnergy!$A$1:$N$19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3" i="3" l="1"/>
  <c r="J12" i="3"/>
  <c r="J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D1" authorId="0" shapeId="0" xr:uid="{E8246C53-B682-4723-A69B-7ABD7B49107E}">
      <text>
        <r>
          <rPr>
            <b/>
            <sz val="9"/>
            <color indexed="81"/>
            <rFont val="Tahoma"/>
            <family val="2"/>
          </rPr>
          <t>Detail 1:
Este es el commodity que se transmite a través de todo el sistema de energía.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D2" authorId="0" shapeId="0" xr:uid="{517A21B9-15EB-48A4-BC63-1727E76F53EC}">
      <text>
        <r>
          <rPr>
            <b/>
            <sz val="9"/>
            <color indexed="81"/>
            <rFont val="Tahoma"/>
            <family val="2"/>
          </rPr>
          <t>Detail 1:
The orange elements mean that the value chain continues until the end indicated.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5C289561-4F6A-4E26-881A-57E580D3EBB4}">
      <text>
        <r>
          <rPr>
            <b/>
            <sz val="9"/>
            <color indexed="81"/>
            <rFont val="Tahoma"/>
            <family val="2"/>
          </rPr>
          <t>Detail 1:
The final of the chain is most certainly in this list, below.
This must be a rule.</t>
        </r>
      </text>
    </comment>
  </commentList>
</comments>
</file>

<file path=xl/sharedStrings.xml><?xml version="1.0" encoding="utf-8"?>
<sst xmlns="http://schemas.openxmlformats.org/spreadsheetml/2006/main" count="440" uniqueCount="214">
  <si>
    <t>The purpose of this file is to establish a supply chain between the primary energy imports / secodnary energy production to final energy consumptions.</t>
  </si>
  <si>
    <t>Mode</t>
  </si>
  <si>
    <t>Activated</t>
  </si>
  <si>
    <t>Secondary_Commodity</t>
  </si>
  <si>
    <t>Primary_Commodity</t>
  </si>
  <si>
    <t>Extractive systems like oil, natural gas and others could be added.</t>
  </si>
  <si>
    <t>The *PrimaryEnergy* sheet establishes which technologies are Primary Energy suppliers, conviniently.</t>
  </si>
  <si>
    <t>The *SecondaryEnergy* sheet establishes how the Seconday Energy is Distributed, conviniently.</t>
  </si>
  <si>
    <t>Transformation</t>
  </si>
  <si>
    <t>Tertiary_Commodity</t>
  </si>
  <si>
    <t>Final in Chain</t>
  </si>
  <si>
    <t>Import/Distribution</t>
  </si>
  <si>
    <t>YES</t>
  </si>
  <si>
    <t>Tech - Code</t>
  </si>
  <si>
    <t>Tech - Plain English</t>
  </si>
  <si>
    <t>Tech - Plain Spanish</t>
  </si>
  <si>
    <t>Fuel - Code (Output)</t>
  </si>
  <si>
    <t>Fuel - Plain English (Output)</t>
  </si>
  <si>
    <t>Fuel - Plain Spanish (Output)</t>
  </si>
  <si>
    <t>Fuel - Code (Input)</t>
  </si>
  <si>
    <t>Fuel - Plain English (Input)</t>
  </si>
  <si>
    <t>Fuel - Plain Spanish (Input)</t>
  </si>
  <si>
    <t>Pure_Diesel</t>
  </si>
  <si>
    <t>IMPPURDSL</t>
  </si>
  <si>
    <t xml:space="preserve"> Import/Distribution - Pure Diesel</t>
  </si>
  <si>
    <t>E1_PURDSL</t>
  </si>
  <si>
    <t>Pure_Gasoline</t>
  </si>
  <si>
    <t>IMPPURGSL</t>
  </si>
  <si>
    <t xml:space="preserve"> Import/Distribution - Pure Gasoline</t>
  </si>
  <si>
    <t>E1_PURGSL</t>
  </si>
  <si>
    <t>Coal</t>
  </si>
  <si>
    <t>IMPCOA</t>
  </si>
  <si>
    <t xml:space="preserve"> Import/Distribution - Coal</t>
  </si>
  <si>
    <t>E0_COA</t>
  </si>
  <si>
    <t>LPG</t>
  </si>
  <si>
    <t>IMPLPG</t>
  </si>
  <si>
    <t xml:space="preserve"> Import/Distribution - LPG</t>
  </si>
  <si>
    <t>E1_LPG</t>
  </si>
  <si>
    <t xml:space="preserve"> LPG</t>
  </si>
  <si>
    <t>Fuel_Oil</t>
  </si>
  <si>
    <t>IMPFOI</t>
  </si>
  <si>
    <t xml:space="preserve"> Import/Distribution - Fuel_Oil</t>
  </si>
  <si>
    <t>E1_FOI</t>
  </si>
  <si>
    <t xml:space="preserve"> FOI</t>
  </si>
  <si>
    <t>Kerosene</t>
  </si>
  <si>
    <t>IMPKJF</t>
  </si>
  <si>
    <t xml:space="preserve"> Import/Distribution - Kerosene and Jet Fuel</t>
  </si>
  <si>
    <t>E1_KJF</t>
  </si>
  <si>
    <t xml:space="preserve"> Kerosene and Jet Fuel</t>
  </si>
  <si>
    <t>Production</t>
  </si>
  <si>
    <t>Petroleum Coke</t>
  </si>
  <si>
    <t>Coke</t>
  </si>
  <si>
    <t>IMPCOK</t>
  </si>
  <si>
    <t>Import - Petroleum Coke</t>
  </si>
  <si>
    <t>E1_COK</t>
  </si>
  <si>
    <t>Waste</t>
  </si>
  <si>
    <t>E0_WAS</t>
  </si>
  <si>
    <t>Firewood</t>
  </si>
  <si>
    <t>PROFIR</t>
  </si>
  <si>
    <t>Production - Firewood</t>
  </si>
  <si>
    <t>E0_FIR</t>
  </si>
  <si>
    <t>Produced Firewood</t>
  </si>
  <si>
    <t>Natural_Gas</t>
  </si>
  <si>
    <t>E0_NGS</t>
  </si>
  <si>
    <t>Import/Regasification</t>
  </si>
  <si>
    <t>IMPNGS</t>
  </si>
  <si>
    <t>Imports - Natural_Gas (LNG and Regasification)</t>
  </si>
  <si>
    <t>Imported Natural_Gas</t>
  </si>
  <si>
    <t>Sugarcane</t>
  </si>
  <si>
    <t>PROSUG</t>
  </si>
  <si>
    <t>Production - Sugarcane</t>
  </si>
  <si>
    <t>E0_SUG</t>
  </si>
  <si>
    <t>Produced Sugarcane</t>
  </si>
  <si>
    <t>Biomass</t>
  </si>
  <si>
    <t>PROBMS</t>
  </si>
  <si>
    <t>Production - Biomass</t>
  </si>
  <si>
    <t>E0_BMS</t>
  </si>
  <si>
    <t>Produced Biomass</t>
  </si>
  <si>
    <t>Geothermal</t>
  </si>
  <si>
    <t>Electricity</t>
  </si>
  <si>
    <t>Primary - Transformation - Geothermal</t>
  </si>
  <si>
    <t>E1_ELE</t>
  </si>
  <si>
    <t>Wind</t>
  </si>
  <si>
    <t xml:space="preserve">Offshore wind </t>
  </si>
  <si>
    <t xml:space="preserve">Primary - Transformation - Offshore wind </t>
  </si>
  <si>
    <t>Solar distributed</t>
  </si>
  <si>
    <t>PP_SPV_DG</t>
  </si>
  <si>
    <t>Primary - Transformation - Solar distributed</t>
  </si>
  <si>
    <t>E3_ELE</t>
  </si>
  <si>
    <t>Photovoltaic for H2</t>
  </si>
  <si>
    <t>PP_SPV_US_H2</t>
  </si>
  <si>
    <t>Primary - Transformation - Photovoltaic for H2</t>
  </si>
  <si>
    <t>E4_ELE</t>
  </si>
  <si>
    <t>Wind for H2</t>
  </si>
  <si>
    <t>PP_WND_US_H2</t>
  </si>
  <si>
    <t>Primary - Transformation - Wind for H2</t>
  </si>
  <si>
    <t>Offshore wind for H2</t>
  </si>
  <si>
    <t>PP_WND_OF_H2</t>
  </si>
  <si>
    <t>Primary - Transformation - Offshore wind for H2</t>
  </si>
  <si>
    <t>Industrial Waste</t>
  </si>
  <si>
    <t>PROINDWAS</t>
  </si>
  <si>
    <t>Production - Industrial Waste</t>
  </si>
  <si>
    <t>Hydroelectric Dam</t>
  </si>
  <si>
    <t>Hydroelectric  Run-of-the-river</t>
  </si>
  <si>
    <t>Photovoltaic in Transmisión</t>
  </si>
  <si>
    <t>Photovoltaic in Distribución</t>
  </si>
  <si>
    <t>Transport</t>
  </si>
  <si>
    <t>Electricity Transmission</t>
  </si>
  <si>
    <t>Secondary - Power Transmission</t>
  </si>
  <si>
    <t>Secondary - Electricity from Generation</t>
  </si>
  <si>
    <t>E2_ELE</t>
  </si>
  <si>
    <t>Secondary - Electricity from Transmission</t>
  </si>
  <si>
    <t>Distribution</t>
  </si>
  <si>
    <t>Secondary - Power Distribution</t>
  </si>
  <si>
    <t>Secondary - Electricity from Distribution</t>
  </si>
  <si>
    <t>Distribution of Natural_Gas</t>
  </si>
  <si>
    <t>E1_NGS</t>
  </si>
  <si>
    <t>Power Plant Sugarcane</t>
  </si>
  <si>
    <t>Biodiesel</t>
  </si>
  <si>
    <t>PROBIODSL</t>
  </si>
  <si>
    <t>Produce biodiesel</t>
  </si>
  <si>
    <t>E1_BIODSL</t>
  </si>
  <si>
    <t>BLEND_DSL</t>
  </si>
  <si>
    <t>Blend diesel</t>
  </si>
  <si>
    <t>E1_DSL</t>
  </si>
  <si>
    <t>Ethanol</t>
  </si>
  <si>
    <t>PROETA</t>
  </si>
  <si>
    <t>Produce etanol</t>
  </si>
  <si>
    <t>E1_ETA</t>
  </si>
  <si>
    <t>Etanol</t>
  </si>
  <si>
    <t>BLEND_GSL</t>
  </si>
  <si>
    <t>Blend gasoline</t>
  </si>
  <si>
    <t>E1_GSL</t>
  </si>
  <si>
    <t>Green Hydrogen</t>
  </si>
  <si>
    <t>HYDPROELEISO</t>
  </si>
  <si>
    <t>Secondary - Green Hydrogen Production - Electrolysis-Isolated Systems</t>
  </si>
  <si>
    <t>Secondary - Electricity for H2</t>
  </si>
  <si>
    <t>E2_HYD</t>
  </si>
  <si>
    <t>Secondary - Produced Green Hydrogen</t>
  </si>
  <si>
    <t>HYDPROELEGRI</t>
  </si>
  <si>
    <t>Secondary - Green Hydrogen Production - Electrolysis-Grid</t>
  </si>
  <si>
    <t>Secondary - Electricity from Grid for H2</t>
  </si>
  <si>
    <t>HYDPROBIO</t>
  </si>
  <si>
    <t>Secondary - Green Hydrogen Production - Biomass</t>
  </si>
  <si>
    <t>Secondary - Biomass for H2</t>
  </si>
  <si>
    <t>HYDPRONGS</t>
  </si>
  <si>
    <t>Secondary - Green Hydrogen Production - Natural_Gas Reforming</t>
  </si>
  <si>
    <t>Hydrogen</t>
  </si>
  <si>
    <t>HYD_DISTR</t>
  </si>
  <si>
    <t>Secondary  - Distribution of Hydrogen</t>
  </si>
  <si>
    <t>E3_HYD</t>
  </si>
  <si>
    <t>Secondary - Transported Hydrogen</t>
  </si>
  <si>
    <t>Primary - Transformation - Photovoltaic in Transmisión</t>
  </si>
  <si>
    <t>Primary - Transformation - Photovoltaic in Distribution</t>
  </si>
  <si>
    <t>ELE_TRN</t>
  </si>
  <si>
    <t>ELE_DTR</t>
  </si>
  <si>
    <t>PWRGEO</t>
  </si>
  <si>
    <t>PWRHYDDAM</t>
  </si>
  <si>
    <t>PWRHYDROR</t>
  </si>
  <si>
    <t>PWRSPVTRN</t>
  </si>
  <si>
    <t>PWRSPVDTR</t>
  </si>
  <si>
    <t>PWRWNONS</t>
  </si>
  <si>
    <t>PP_WNDOFS</t>
  </si>
  <si>
    <t xml:space="preserve">Primary - Transformation - On shore Wind </t>
  </si>
  <si>
    <t>PWRSUG</t>
  </si>
  <si>
    <t>PWRFOI</t>
  </si>
  <si>
    <t>PWRDSL</t>
  </si>
  <si>
    <t xml:space="preserve">Power Plant Fuel_Oil </t>
  </si>
  <si>
    <t xml:space="preserve">Power Plant Diesel </t>
  </si>
  <si>
    <t>Electricity_Transmission</t>
  </si>
  <si>
    <t>Green_Hydrogen</t>
  </si>
  <si>
    <t>NGS_DTR</t>
  </si>
  <si>
    <t>Importación/Distribución - Diésel Puro</t>
  </si>
  <si>
    <t>Importación/Distribución - Gasolina Pura</t>
  </si>
  <si>
    <t>Importación/Distribución - Carbón</t>
  </si>
  <si>
    <t>Importación/Distribución - GLP</t>
  </si>
  <si>
    <t>Importación/Distribución - Fuel Oil</t>
  </si>
  <si>
    <t>Producción - Leña</t>
  </si>
  <si>
    <t>Importación/Distribución - Keroseno y Combustible de Aviación</t>
  </si>
  <si>
    <t>Importación - Coque de Petróleo</t>
  </si>
  <si>
    <t>Producción - Residuos Industriales</t>
  </si>
  <si>
    <t>Importaciones - Gas Natural (GNL y Regasificación)</t>
  </si>
  <si>
    <t>Producción - Caña de Azúcar</t>
  </si>
  <si>
    <t>Producción - Biomasa</t>
  </si>
  <si>
    <t>Primario - Transformación - Geotérmica</t>
  </si>
  <si>
    <t>Primario - Transformación - Fotovoltaica en Transmisión</t>
  </si>
  <si>
    <t>Primario - Transformación - Fotovoltaica en Distribución</t>
  </si>
  <si>
    <t>Primario - Transformación - Eólica en Tierra (Onshore)</t>
  </si>
  <si>
    <t>Primario - Transformación - Eólica Marina (Offshore)</t>
  </si>
  <si>
    <t>Primario - Transformación - Solar Distribuida</t>
  </si>
  <si>
    <t>Primario - Transformación - Fotovoltaica para Hidrógeno</t>
  </si>
  <si>
    <t>Primario - Transformación - Eólica para Hidrógeno</t>
  </si>
  <si>
    <t>Primario - Transformación - Eólica Marina para Hidrógeno</t>
  </si>
  <si>
    <t>Primary - Transformation - Hydroelectric Dam</t>
  </si>
  <si>
    <t>Primary - Transformation - Hydroelectric  Run-of-the-river</t>
  </si>
  <si>
    <t>Primario - Transformación - Hidroeléctrica Represa</t>
  </si>
  <si>
    <t>Primario - Transformación - Hidroeléctrica Filo de Agua</t>
  </si>
  <si>
    <t>Secundario - Electricidad desde Generación</t>
  </si>
  <si>
    <t>Secundario - Electricidad desde Transmisión</t>
  </si>
  <si>
    <t>Gas Natural</t>
  </si>
  <si>
    <t>Caña de Azúcar</t>
  </si>
  <si>
    <t>Biomasa</t>
  </si>
  <si>
    <t>Fuel Oil</t>
  </si>
  <si>
    <t>Diésel Puro</t>
  </si>
  <si>
    <t>Biodiésel</t>
  </si>
  <si>
    <t>Gasolina Pura</t>
  </si>
  <si>
    <t>Secundario - Electricidad para Hidrógeno</t>
  </si>
  <si>
    <t>Secundario - Electricidad desde Red para Hidrógeno</t>
  </si>
  <si>
    <t>Secundario - Biomasa para Hidrógeno</t>
  </si>
  <si>
    <t>Secundario - Hidrógeno Verde Producido</t>
  </si>
  <si>
    <t>Diesel_Blend</t>
  </si>
  <si>
    <t>Gasoline_Blend</t>
  </si>
  <si>
    <t>PWRBMS</t>
  </si>
  <si>
    <t>Power Plant 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</si>
</sst>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6" xfId="0" applyFont="1" applyFill="1" applyBorder="1"/>
    <xf numFmtId="0" fontId="0" fillId="3" borderId="1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6" xfId="0" applyFont="1" applyFill="1" applyBorder="1"/>
    <xf numFmtId="0" fontId="4" fillId="3" borderId="1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6" fillId="3" borderId="12" xfId="0" applyFont="1" applyFill="1" applyBorder="1"/>
    <xf numFmtId="0" fontId="4" fillId="3" borderId="1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" fillId="3" borderId="12" xfId="0" applyFont="1" applyFill="1" applyBorder="1"/>
    <xf numFmtId="0" fontId="0" fillId="3" borderId="1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6" xfId="0" applyFont="1" applyFill="1" applyBorder="1"/>
    <xf numFmtId="0" fontId="0" fillId="5" borderId="1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0" xfId="0" applyFill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K25"/>
  <sheetViews>
    <sheetView zoomScaleNormal="100" workbookViewId="0">
      <pane ySplit="1" topLeftCell="A2" activePane="bottomLeft" state="frozen"/>
      <selection pane="bottomLeft" activeCell="F19" sqref="F19"/>
    </sheetView>
  </sheetViews>
  <sheetFormatPr defaultColWidth="9.21875" defaultRowHeight="14.4" x14ac:dyDescent="0.3"/>
  <cols>
    <col min="1" max="1" width="28" bestFit="1" customWidth="1"/>
    <col min="2" max="2" width="20" bestFit="1" customWidth="1"/>
    <col min="3" max="3" width="9" customWidth="1"/>
    <col min="4" max="4" width="25.6640625" bestFit="1" customWidth="1"/>
    <col min="5" max="5" width="12.21875" customWidth="1"/>
    <col min="6" max="6" width="20.109375" bestFit="1" customWidth="1"/>
    <col min="7" max="7" width="70.6640625" bestFit="1" customWidth="1"/>
    <col min="8" max="8" width="57.5546875" bestFit="1" customWidth="1"/>
    <col min="9" max="9" width="18.21875" bestFit="1" customWidth="1"/>
    <col min="10" max="10" width="36.88671875" bestFit="1" customWidth="1"/>
    <col min="11" max="11" width="57.5546875" bestFit="1" customWidth="1"/>
  </cols>
  <sheetData>
    <row r="1" spans="1:11" ht="15" thickBot="1" x14ac:dyDescent="0.35">
      <c r="A1" s="6" t="s">
        <v>4</v>
      </c>
      <c r="B1" s="7" t="s">
        <v>1</v>
      </c>
      <c r="C1" s="7" t="s">
        <v>2</v>
      </c>
      <c r="D1" s="8" t="s">
        <v>3</v>
      </c>
      <c r="E1" s="5" t="s">
        <v>10</v>
      </c>
      <c r="F1" s="1" t="s">
        <v>13</v>
      </c>
      <c r="G1" s="2" t="s">
        <v>14</v>
      </c>
      <c r="H1" s="3" t="s">
        <v>15</v>
      </c>
      <c r="I1" s="1" t="s">
        <v>16</v>
      </c>
      <c r="J1" s="2" t="s">
        <v>17</v>
      </c>
      <c r="K1" s="3" t="s">
        <v>18</v>
      </c>
    </row>
    <row r="2" spans="1:11" x14ac:dyDescent="0.3">
      <c r="A2" s="106" t="s">
        <v>22</v>
      </c>
      <c r="B2" s="15" t="s">
        <v>11</v>
      </c>
      <c r="C2" s="15" t="s">
        <v>12</v>
      </c>
      <c r="D2" s="16" t="s">
        <v>22</v>
      </c>
      <c r="E2" s="17" t="b">
        <v>1</v>
      </c>
      <c r="F2" s="18" t="s">
        <v>23</v>
      </c>
      <c r="G2" s="15" t="s">
        <v>24</v>
      </c>
      <c r="H2" s="19" t="s">
        <v>172</v>
      </c>
      <c r="I2" s="18" t="s">
        <v>25</v>
      </c>
      <c r="J2" s="19" t="s">
        <v>22</v>
      </c>
      <c r="K2" s="20"/>
    </row>
    <row r="3" spans="1:11" x14ac:dyDescent="0.3">
      <c r="A3" s="106" t="s">
        <v>26</v>
      </c>
      <c r="B3" s="15" t="s">
        <v>11</v>
      </c>
      <c r="C3" s="15" t="s">
        <v>12</v>
      </c>
      <c r="D3" s="16" t="s">
        <v>26</v>
      </c>
      <c r="E3" s="17" t="b">
        <v>1</v>
      </c>
      <c r="F3" s="18" t="s">
        <v>27</v>
      </c>
      <c r="G3" s="15" t="s">
        <v>28</v>
      </c>
      <c r="H3" s="19" t="s">
        <v>173</v>
      </c>
      <c r="I3" s="18" t="s">
        <v>29</v>
      </c>
      <c r="J3" s="19" t="s">
        <v>26</v>
      </c>
      <c r="K3" s="20"/>
    </row>
    <row r="4" spans="1:11" x14ac:dyDescent="0.3">
      <c r="A4" s="106" t="s">
        <v>30</v>
      </c>
      <c r="B4" s="15" t="s">
        <v>11</v>
      </c>
      <c r="C4" s="15" t="s">
        <v>12</v>
      </c>
      <c r="D4" s="16" t="s">
        <v>30</v>
      </c>
      <c r="E4" s="17" t="b">
        <v>1</v>
      </c>
      <c r="F4" s="18" t="s">
        <v>31</v>
      </c>
      <c r="G4" s="15" t="s">
        <v>32</v>
      </c>
      <c r="H4" s="19" t="s">
        <v>174</v>
      </c>
      <c r="I4" s="18" t="s">
        <v>33</v>
      </c>
      <c r="J4" s="19" t="s">
        <v>30</v>
      </c>
      <c r="K4" s="20"/>
    </row>
    <row r="5" spans="1:11" x14ac:dyDescent="0.3">
      <c r="A5" s="106" t="s">
        <v>34</v>
      </c>
      <c r="B5" s="15" t="s">
        <v>11</v>
      </c>
      <c r="C5" s="15" t="s">
        <v>12</v>
      </c>
      <c r="D5" s="16" t="s">
        <v>34</v>
      </c>
      <c r="E5" s="17" t="b">
        <v>1</v>
      </c>
      <c r="F5" s="18" t="s">
        <v>35</v>
      </c>
      <c r="G5" s="15" t="s">
        <v>36</v>
      </c>
      <c r="H5" s="19" t="s">
        <v>175</v>
      </c>
      <c r="I5" s="18" t="s">
        <v>37</v>
      </c>
      <c r="J5" s="19" t="s">
        <v>38</v>
      </c>
      <c r="K5" s="20"/>
    </row>
    <row r="6" spans="1:11" x14ac:dyDescent="0.3">
      <c r="A6" s="106" t="s">
        <v>39</v>
      </c>
      <c r="B6" s="15" t="s">
        <v>11</v>
      </c>
      <c r="C6" s="15" t="s">
        <v>12</v>
      </c>
      <c r="D6" s="16" t="s">
        <v>39</v>
      </c>
      <c r="E6" s="17" t="b">
        <v>1</v>
      </c>
      <c r="F6" s="18" t="s">
        <v>40</v>
      </c>
      <c r="G6" s="15" t="s">
        <v>41</v>
      </c>
      <c r="H6" s="19" t="s">
        <v>176</v>
      </c>
      <c r="I6" s="18" t="s">
        <v>42</v>
      </c>
      <c r="J6" s="19" t="s">
        <v>43</v>
      </c>
      <c r="K6" s="20"/>
    </row>
    <row r="7" spans="1:11" s="45" customFormat="1" x14ac:dyDescent="0.3">
      <c r="A7" s="107" t="s">
        <v>57</v>
      </c>
      <c r="B7" s="39" t="s">
        <v>11</v>
      </c>
      <c r="C7" s="39" t="s">
        <v>12</v>
      </c>
      <c r="D7" s="40" t="s">
        <v>57</v>
      </c>
      <c r="E7" s="41" t="b">
        <v>1</v>
      </c>
      <c r="F7" s="42" t="s">
        <v>58</v>
      </c>
      <c r="G7" s="39" t="s">
        <v>59</v>
      </c>
      <c r="H7" s="43" t="s">
        <v>177</v>
      </c>
      <c r="I7" s="42" t="s">
        <v>60</v>
      </c>
      <c r="J7" s="43" t="s">
        <v>61</v>
      </c>
      <c r="K7" s="44"/>
    </row>
    <row r="8" spans="1:11" x14ac:dyDescent="0.3">
      <c r="A8" s="106" t="s">
        <v>44</v>
      </c>
      <c r="B8" s="15" t="s">
        <v>11</v>
      </c>
      <c r="C8" s="15" t="s">
        <v>12</v>
      </c>
      <c r="D8" s="16" t="s">
        <v>44</v>
      </c>
      <c r="E8" s="17" t="b">
        <v>1</v>
      </c>
      <c r="F8" s="18" t="s">
        <v>45</v>
      </c>
      <c r="G8" s="15" t="s">
        <v>46</v>
      </c>
      <c r="H8" s="19" t="s">
        <v>178</v>
      </c>
      <c r="I8" s="18" t="s">
        <v>47</v>
      </c>
      <c r="J8" s="19" t="s">
        <v>48</v>
      </c>
      <c r="K8" s="20"/>
    </row>
    <row r="9" spans="1:11" x14ac:dyDescent="0.3">
      <c r="A9" s="106" t="s">
        <v>50</v>
      </c>
      <c r="B9" s="15" t="s">
        <v>11</v>
      </c>
      <c r="C9" s="15" t="s">
        <v>12</v>
      </c>
      <c r="D9" s="16" t="s">
        <v>51</v>
      </c>
      <c r="E9" s="17" t="b">
        <v>1</v>
      </c>
      <c r="F9" s="18" t="s">
        <v>52</v>
      </c>
      <c r="G9" s="15" t="s">
        <v>53</v>
      </c>
      <c r="H9" s="19" t="s">
        <v>179</v>
      </c>
      <c r="I9" s="18" t="s">
        <v>54</v>
      </c>
      <c r="J9" s="19" t="s">
        <v>50</v>
      </c>
      <c r="K9" s="20"/>
    </row>
    <row r="10" spans="1:11" x14ac:dyDescent="0.3">
      <c r="A10" s="108" t="s">
        <v>99</v>
      </c>
      <c r="B10" s="21" t="s">
        <v>49</v>
      </c>
      <c r="C10" s="21" t="s">
        <v>12</v>
      </c>
      <c r="D10" s="22" t="s">
        <v>99</v>
      </c>
      <c r="E10" s="23" t="b">
        <v>1</v>
      </c>
      <c r="F10" s="24" t="s">
        <v>100</v>
      </c>
      <c r="G10" s="21" t="s">
        <v>101</v>
      </c>
      <c r="H10" s="25" t="s">
        <v>180</v>
      </c>
      <c r="I10" s="24" t="s">
        <v>56</v>
      </c>
      <c r="J10" s="25" t="s">
        <v>55</v>
      </c>
      <c r="K10" s="20"/>
    </row>
    <row r="11" spans="1:11" x14ac:dyDescent="0.3">
      <c r="A11" s="106" t="s">
        <v>57</v>
      </c>
      <c r="B11" s="15" t="s">
        <v>49</v>
      </c>
      <c r="C11" s="15" t="s">
        <v>12</v>
      </c>
      <c r="D11" s="16" t="s">
        <v>57</v>
      </c>
      <c r="E11" s="17" t="b">
        <v>1</v>
      </c>
      <c r="F11" s="18" t="s">
        <v>58</v>
      </c>
      <c r="G11" s="15" t="s">
        <v>59</v>
      </c>
      <c r="H11" s="19" t="s">
        <v>177</v>
      </c>
      <c r="I11" s="18" t="s">
        <v>60</v>
      </c>
      <c r="J11" s="19" t="s">
        <v>61</v>
      </c>
      <c r="K11" s="20"/>
    </row>
    <row r="12" spans="1:11" x14ac:dyDescent="0.3">
      <c r="A12" s="106" t="s">
        <v>62</v>
      </c>
      <c r="B12" s="15" t="s">
        <v>64</v>
      </c>
      <c r="C12" s="15" t="s">
        <v>12</v>
      </c>
      <c r="D12" s="16" t="s">
        <v>62</v>
      </c>
      <c r="E12" s="17" t="b">
        <v>0</v>
      </c>
      <c r="F12" s="18" t="s">
        <v>65</v>
      </c>
      <c r="G12" s="15" t="s">
        <v>66</v>
      </c>
      <c r="H12" s="19" t="s">
        <v>181</v>
      </c>
      <c r="I12" s="26" t="s">
        <v>63</v>
      </c>
      <c r="J12" s="19" t="s">
        <v>67</v>
      </c>
      <c r="K12" s="20"/>
    </row>
    <row r="13" spans="1:11" ht="15" thickBot="1" x14ac:dyDescent="0.35">
      <c r="A13" s="106" t="s">
        <v>68</v>
      </c>
      <c r="B13" s="15" t="s">
        <v>49</v>
      </c>
      <c r="C13" s="15" t="s">
        <v>12</v>
      </c>
      <c r="D13" s="16" t="s">
        <v>68</v>
      </c>
      <c r="E13" s="17" t="b">
        <v>1</v>
      </c>
      <c r="F13" s="18" t="s">
        <v>69</v>
      </c>
      <c r="G13" s="15" t="s">
        <v>70</v>
      </c>
      <c r="H13" s="19" t="s">
        <v>182</v>
      </c>
      <c r="I13" s="18" t="s">
        <v>71</v>
      </c>
      <c r="J13" s="19" t="s">
        <v>72</v>
      </c>
      <c r="K13" s="20"/>
    </row>
    <row r="14" spans="1:11" ht="15" thickBot="1" x14ac:dyDescent="0.35">
      <c r="A14" s="109" t="s">
        <v>73</v>
      </c>
      <c r="B14" s="27" t="s">
        <v>49</v>
      </c>
      <c r="C14" s="27" t="s">
        <v>12</v>
      </c>
      <c r="D14" s="28" t="s">
        <v>73</v>
      </c>
      <c r="E14" s="29" t="b">
        <v>1</v>
      </c>
      <c r="F14" s="30" t="s">
        <v>74</v>
      </c>
      <c r="G14" s="27" t="s">
        <v>75</v>
      </c>
      <c r="H14" s="31" t="s">
        <v>183</v>
      </c>
      <c r="I14" s="30" t="s">
        <v>76</v>
      </c>
      <c r="J14" s="31" t="s">
        <v>77</v>
      </c>
      <c r="K14" s="20"/>
    </row>
    <row r="15" spans="1:11" x14ac:dyDescent="0.3">
      <c r="A15" s="110" t="s">
        <v>78</v>
      </c>
      <c r="B15" s="32" t="s">
        <v>8</v>
      </c>
      <c r="C15" s="32" t="s">
        <v>12</v>
      </c>
      <c r="D15" s="33" t="s">
        <v>79</v>
      </c>
      <c r="E15" s="34" t="b">
        <v>0</v>
      </c>
      <c r="F15" s="35" t="s">
        <v>156</v>
      </c>
      <c r="G15" s="27" t="s">
        <v>80</v>
      </c>
      <c r="H15" s="36" t="s">
        <v>184</v>
      </c>
      <c r="I15" s="35" t="s">
        <v>81</v>
      </c>
      <c r="J15" s="36" t="s">
        <v>79</v>
      </c>
      <c r="K15" s="20"/>
    </row>
    <row r="16" spans="1:11" x14ac:dyDescent="0.3">
      <c r="A16" s="111" t="s">
        <v>102</v>
      </c>
      <c r="B16" s="15" t="s">
        <v>8</v>
      </c>
      <c r="C16" s="15" t="s">
        <v>12</v>
      </c>
      <c r="D16" s="16" t="s">
        <v>79</v>
      </c>
      <c r="E16" s="17" t="b">
        <v>0</v>
      </c>
      <c r="F16" s="18" t="s">
        <v>157</v>
      </c>
      <c r="G16" s="21" t="s">
        <v>193</v>
      </c>
      <c r="H16" s="19" t="s">
        <v>195</v>
      </c>
      <c r="I16" s="18" t="s">
        <v>81</v>
      </c>
      <c r="J16" s="19" t="s">
        <v>79</v>
      </c>
      <c r="K16" s="20"/>
    </row>
    <row r="17" spans="1:11" x14ac:dyDescent="0.3">
      <c r="A17" s="111" t="s">
        <v>103</v>
      </c>
      <c r="B17" s="15" t="s">
        <v>8</v>
      </c>
      <c r="C17" s="15" t="s">
        <v>12</v>
      </c>
      <c r="D17" s="16" t="s">
        <v>79</v>
      </c>
      <c r="E17" s="17" t="b">
        <v>0</v>
      </c>
      <c r="F17" s="18" t="s">
        <v>158</v>
      </c>
      <c r="G17" s="21" t="s">
        <v>194</v>
      </c>
      <c r="H17" s="19" t="s">
        <v>196</v>
      </c>
      <c r="I17" s="18" t="s">
        <v>81</v>
      </c>
      <c r="J17" s="19" t="s">
        <v>79</v>
      </c>
      <c r="K17" s="20"/>
    </row>
    <row r="18" spans="1:11" x14ac:dyDescent="0.3">
      <c r="A18" s="111" t="s">
        <v>104</v>
      </c>
      <c r="B18" s="15" t="s">
        <v>8</v>
      </c>
      <c r="C18" s="15" t="s">
        <v>12</v>
      </c>
      <c r="D18" s="16" t="s">
        <v>79</v>
      </c>
      <c r="E18" s="17" t="b">
        <v>0</v>
      </c>
      <c r="F18" s="18" t="s">
        <v>159</v>
      </c>
      <c r="G18" s="21" t="s">
        <v>152</v>
      </c>
      <c r="H18" s="19" t="s">
        <v>185</v>
      </c>
      <c r="I18" s="18" t="s">
        <v>81</v>
      </c>
      <c r="J18" s="19" t="s">
        <v>79</v>
      </c>
      <c r="K18" s="20"/>
    </row>
    <row r="19" spans="1:11" x14ac:dyDescent="0.3">
      <c r="A19" s="111" t="s">
        <v>105</v>
      </c>
      <c r="B19" s="15" t="s">
        <v>8</v>
      </c>
      <c r="C19" s="15" t="s">
        <v>12</v>
      </c>
      <c r="D19" s="16" t="s">
        <v>79</v>
      </c>
      <c r="E19" s="17" t="b">
        <v>0</v>
      </c>
      <c r="F19" s="18" t="s">
        <v>160</v>
      </c>
      <c r="G19" s="21" t="s">
        <v>153</v>
      </c>
      <c r="H19" s="19" t="s">
        <v>186</v>
      </c>
      <c r="I19" s="18" t="s">
        <v>110</v>
      </c>
      <c r="J19" s="19" t="s">
        <v>79</v>
      </c>
      <c r="K19" s="20"/>
    </row>
    <row r="20" spans="1:11" x14ac:dyDescent="0.3">
      <c r="A20" s="111" t="s">
        <v>82</v>
      </c>
      <c r="B20" s="15" t="s">
        <v>8</v>
      </c>
      <c r="C20" s="15" t="s">
        <v>12</v>
      </c>
      <c r="D20" s="16" t="s">
        <v>79</v>
      </c>
      <c r="E20" s="17" t="b">
        <v>0</v>
      </c>
      <c r="F20" s="18" t="s">
        <v>161</v>
      </c>
      <c r="G20" s="21" t="s">
        <v>163</v>
      </c>
      <c r="H20" s="19" t="s">
        <v>187</v>
      </c>
      <c r="I20" s="18" t="s">
        <v>81</v>
      </c>
      <c r="J20" s="19" t="s">
        <v>79</v>
      </c>
      <c r="K20" s="20"/>
    </row>
    <row r="21" spans="1:11" x14ac:dyDescent="0.3">
      <c r="A21" s="111" t="s">
        <v>83</v>
      </c>
      <c r="B21" s="15" t="s">
        <v>8</v>
      </c>
      <c r="C21" s="15" t="s">
        <v>12</v>
      </c>
      <c r="D21" s="16" t="s">
        <v>79</v>
      </c>
      <c r="E21" s="17" t="b">
        <v>0</v>
      </c>
      <c r="F21" s="18" t="s">
        <v>162</v>
      </c>
      <c r="G21" s="21" t="s">
        <v>84</v>
      </c>
      <c r="H21" s="19" t="s">
        <v>188</v>
      </c>
      <c r="I21" s="18" t="s">
        <v>81</v>
      </c>
      <c r="J21" s="19" t="s">
        <v>79</v>
      </c>
      <c r="K21" s="20"/>
    </row>
    <row r="22" spans="1:11" x14ac:dyDescent="0.3">
      <c r="A22" s="111" t="s">
        <v>85</v>
      </c>
      <c r="B22" s="15" t="s">
        <v>8</v>
      </c>
      <c r="C22" s="15" t="s">
        <v>12</v>
      </c>
      <c r="D22" s="16" t="s">
        <v>79</v>
      </c>
      <c r="E22" s="17" t="b">
        <v>0</v>
      </c>
      <c r="F22" s="18" t="s">
        <v>86</v>
      </c>
      <c r="G22" s="21" t="s">
        <v>87</v>
      </c>
      <c r="H22" s="19" t="s">
        <v>189</v>
      </c>
      <c r="I22" s="37" t="s">
        <v>88</v>
      </c>
      <c r="J22" s="19" t="s">
        <v>79</v>
      </c>
      <c r="K22" s="38"/>
    </row>
    <row r="23" spans="1:11" x14ac:dyDescent="0.3">
      <c r="A23" s="111" t="s">
        <v>89</v>
      </c>
      <c r="B23" s="15" t="s">
        <v>8</v>
      </c>
      <c r="C23" s="15" t="s">
        <v>12</v>
      </c>
      <c r="D23" s="16" t="s">
        <v>79</v>
      </c>
      <c r="E23" s="17" t="b">
        <v>0</v>
      </c>
      <c r="F23" s="18" t="s">
        <v>90</v>
      </c>
      <c r="G23" s="21" t="s">
        <v>91</v>
      </c>
      <c r="H23" s="19" t="s">
        <v>190</v>
      </c>
      <c r="I23" s="18" t="s">
        <v>92</v>
      </c>
      <c r="J23" s="19" t="s">
        <v>79</v>
      </c>
      <c r="K23" s="38"/>
    </row>
    <row r="24" spans="1:11" x14ac:dyDescent="0.3">
      <c r="A24" s="111" t="s">
        <v>93</v>
      </c>
      <c r="B24" s="15" t="s">
        <v>8</v>
      </c>
      <c r="C24" s="15" t="s">
        <v>12</v>
      </c>
      <c r="D24" s="16" t="s">
        <v>79</v>
      </c>
      <c r="E24" s="17" t="b">
        <v>0</v>
      </c>
      <c r="F24" s="18" t="s">
        <v>94</v>
      </c>
      <c r="G24" s="21" t="s">
        <v>95</v>
      </c>
      <c r="H24" s="19" t="s">
        <v>191</v>
      </c>
      <c r="I24" s="18" t="s">
        <v>92</v>
      </c>
      <c r="J24" s="19" t="s">
        <v>79</v>
      </c>
      <c r="K24" s="38"/>
    </row>
    <row r="25" spans="1:11" x14ac:dyDescent="0.3">
      <c r="A25" s="111" t="s">
        <v>96</v>
      </c>
      <c r="B25" s="15" t="s">
        <v>8</v>
      </c>
      <c r="C25" s="15" t="s">
        <v>12</v>
      </c>
      <c r="D25" s="16" t="s">
        <v>79</v>
      </c>
      <c r="E25" s="17" t="b">
        <v>0</v>
      </c>
      <c r="F25" s="18" t="s">
        <v>97</v>
      </c>
      <c r="G25" s="21" t="s">
        <v>98</v>
      </c>
      <c r="H25" s="19" t="s">
        <v>192</v>
      </c>
      <c r="I25" s="18" t="s">
        <v>92</v>
      </c>
      <c r="J25" s="19" t="s">
        <v>79</v>
      </c>
      <c r="K25" s="38"/>
    </row>
  </sheetData>
  <autoFilter ref="A1:K1" xr:uid="{00000000-0001-0000-0000-000000000000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3C42-1AB9-45A0-982B-1FD917C59C4F}">
  <dimension ref="A1:A4"/>
  <sheetViews>
    <sheetView workbookViewId="0"/>
  </sheetViews>
  <sheetFormatPr defaultColWidth="9.21875" defaultRowHeight="14.4" x14ac:dyDescent="0.3"/>
  <sheetData>
    <row r="1" spans="1:1" x14ac:dyDescent="0.3">
      <c r="A1" t="s">
        <v>0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F466-5712-4E2F-BFB1-24D1EC490CA3}">
  <sheetPr>
    <tabColor rgb="FF92D050"/>
  </sheetPr>
  <dimension ref="A1:N19"/>
  <sheetViews>
    <sheetView tabSelected="1" zoomScaleNormal="100" workbookViewId="0">
      <pane ySplit="1" topLeftCell="A2" activePane="bottomLeft" state="frozen"/>
      <selection activeCell="H1" sqref="H1"/>
      <selection pane="bottomLeft" activeCell="G24" sqref="G24"/>
    </sheetView>
  </sheetViews>
  <sheetFormatPr defaultColWidth="9.21875" defaultRowHeight="14.4" x14ac:dyDescent="0.3"/>
  <cols>
    <col min="1" max="1" width="27.44140625" customWidth="1"/>
    <col min="2" max="2" width="17.33203125" customWidth="1"/>
    <col min="3" max="3" width="12.21875" customWidth="1"/>
    <col min="4" max="4" width="55.21875" customWidth="1"/>
    <col min="5" max="5" width="16.77734375" customWidth="1"/>
    <col min="6" max="6" width="22" bestFit="1" customWidth="1"/>
    <col min="7" max="7" width="71.5546875" bestFit="1" customWidth="1"/>
    <col min="8" max="8" width="28.109375" customWidth="1"/>
    <col min="9" max="9" width="19.109375" customWidth="1"/>
    <col min="10" max="10" width="35.44140625" customWidth="1"/>
    <col min="11" max="11" width="46.33203125" bestFit="1" customWidth="1"/>
    <col min="12" max="12" width="19.88671875" customWidth="1"/>
    <col min="13" max="13" width="35.44140625" customWidth="1"/>
    <col min="14" max="14" width="26.44140625" customWidth="1"/>
  </cols>
  <sheetData>
    <row r="1" spans="1:14" ht="15" thickBot="1" x14ac:dyDescent="0.35">
      <c r="A1" s="1" t="s">
        <v>3</v>
      </c>
      <c r="B1" s="2" t="s">
        <v>1</v>
      </c>
      <c r="C1" s="2" t="s">
        <v>2</v>
      </c>
      <c r="D1" s="2" t="s">
        <v>9</v>
      </c>
      <c r="E1" s="4" t="s">
        <v>10</v>
      </c>
      <c r="F1" s="1" t="s">
        <v>13</v>
      </c>
      <c r="G1" s="2" t="s">
        <v>14</v>
      </c>
      <c r="H1" s="3" t="s">
        <v>15</v>
      </c>
      <c r="I1" s="9" t="s">
        <v>19</v>
      </c>
      <c r="J1" s="10" t="s">
        <v>20</v>
      </c>
      <c r="K1" s="11" t="s">
        <v>21</v>
      </c>
      <c r="L1" s="12" t="s">
        <v>16</v>
      </c>
      <c r="M1" s="13" t="s">
        <v>17</v>
      </c>
      <c r="N1" s="14" t="s">
        <v>18</v>
      </c>
    </row>
    <row r="2" spans="1:14" s="56" customFormat="1" x14ac:dyDescent="0.3">
      <c r="A2" s="46" t="s">
        <v>79</v>
      </c>
      <c r="B2" s="47" t="s">
        <v>106</v>
      </c>
      <c r="C2" s="48" t="s">
        <v>12</v>
      </c>
      <c r="D2" s="49" t="s">
        <v>169</v>
      </c>
      <c r="E2" s="50" t="b">
        <v>0</v>
      </c>
      <c r="F2" s="51" t="s">
        <v>154</v>
      </c>
      <c r="G2" s="47" t="s">
        <v>108</v>
      </c>
      <c r="H2" s="52"/>
      <c r="I2" s="53" t="s">
        <v>81</v>
      </c>
      <c r="J2" s="54" t="s">
        <v>109</v>
      </c>
      <c r="K2" s="55" t="s">
        <v>197</v>
      </c>
      <c r="L2" s="53" t="s">
        <v>110</v>
      </c>
      <c r="M2" s="54" t="s">
        <v>111</v>
      </c>
      <c r="N2" s="55"/>
    </row>
    <row r="3" spans="1:14" s="56" customFormat="1" x14ac:dyDescent="0.3">
      <c r="A3" s="57" t="s">
        <v>107</v>
      </c>
      <c r="B3" s="58" t="s">
        <v>112</v>
      </c>
      <c r="C3" s="59" t="s">
        <v>12</v>
      </c>
      <c r="D3" s="59" t="s">
        <v>79</v>
      </c>
      <c r="E3" s="60" t="b">
        <v>1</v>
      </c>
      <c r="F3" s="61" t="s">
        <v>155</v>
      </c>
      <c r="G3" s="58" t="s">
        <v>113</v>
      </c>
      <c r="H3" s="62"/>
      <c r="I3" s="63" t="s">
        <v>110</v>
      </c>
      <c r="J3" s="54" t="s">
        <v>111</v>
      </c>
      <c r="K3" s="55" t="s">
        <v>198</v>
      </c>
      <c r="L3" s="63" t="s">
        <v>88</v>
      </c>
      <c r="M3" s="54" t="s">
        <v>114</v>
      </c>
      <c r="N3" s="55"/>
    </row>
    <row r="4" spans="1:14" s="56" customFormat="1" ht="15" thickBot="1" x14ac:dyDescent="0.35">
      <c r="A4" s="64" t="s">
        <v>62</v>
      </c>
      <c r="B4" s="65" t="s">
        <v>8</v>
      </c>
      <c r="C4" s="65" t="s">
        <v>12</v>
      </c>
      <c r="D4" s="65" t="s">
        <v>62</v>
      </c>
      <c r="E4" s="66" t="b">
        <v>1</v>
      </c>
      <c r="F4" s="67" t="s">
        <v>171</v>
      </c>
      <c r="G4" s="68" t="s">
        <v>115</v>
      </c>
      <c r="H4" s="69"/>
      <c r="I4" s="64" t="s">
        <v>63</v>
      </c>
      <c r="J4" s="70" t="s">
        <v>62</v>
      </c>
      <c r="K4" s="71" t="s">
        <v>199</v>
      </c>
      <c r="L4" s="64" t="s">
        <v>116</v>
      </c>
      <c r="M4" s="71" t="s">
        <v>62</v>
      </c>
    </row>
    <row r="5" spans="1:14" s="56" customFormat="1" x14ac:dyDescent="0.3">
      <c r="A5" s="63" t="s">
        <v>68</v>
      </c>
      <c r="B5" s="72" t="s">
        <v>8</v>
      </c>
      <c r="C5" s="72" t="s">
        <v>12</v>
      </c>
      <c r="D5" s="55" t="s">
        <v>79</v>
      </c>
      <c r="E5" s="73" t="b">
        <v>0</v>
      </c>
      <c r="F5" s="61" t="s">
        <v>164</v>
      </c>
      <c r="G5" s="58" t="s">
        <v>117</v>
      </c>
      <c r="H5" s="62"/>
      <c r="I5" s="63" t="s">
        <v>71</v>
      </c>
      <c r="J5" s="74" t="s">
        <v>68</v>
      </c>
      <c r="K5" s="55" t="s">
        <v>200</v>
      </c>
      <c r="L5" s="63" t="s">
        <v>81</v>
      </c>
      <c r="M5" s="55" t="s">
        <v>79</v>
      </c>
    </row>
    <row r="6" spans="1:14" s="56" customFormat="1" x14ac:dyDescent="0.3">
      <c r="A6" s="63" t="s">
        <v>73</v>
      </c>
      <c r="B6" s="72" t="s">
        <v>8</v>
      </c>
      <c r="C6" s="72" t="s">
        <v>12</v>
      </c>
      <c r="D6" s="55" t="s">
        <v>79</v>
      </c>
      <c r="E6" s="73" t="b">
        <v>0</v>
      </c>
      <c r="F6" s="61" t="s">
        <v>212</v>
      </c>
      <c r="G6" s="58" t="s">
        <v>213</v>
      </c>
      <c r="H6" s="62"/>
      <c r="I6" s="63" t="s">
        <v>76</v>
      </c>
      <c r="J6" s="74" t="s">
        <v>73</v>
      </c>
      <c r="K6" s="55" t="s">
        <v>201</v>
      </c>
      <c r="L6" s="63" t="s">
        <v>81</v>
      </c>
      <c r="M6" s="55" t="s">
        <v>79</v>
      </c>
    </row>
    <row r="7" spans="1:14" s="56" customFormat="1" x14ac:dyDescent="0.3">
      <c r="A7" s="63" t="s">
        <v>39</v>
      </c>
      <c r="B7" s="15" t="s">
        <v>8</v>
      </c>
      <c r="C7" s="15" t="s">
        <v>12</v>
      </c>
      <c r="D7" s="55" t="s">
        <v>79</v>
      </c>
      <c r="E7" s="19" t="b">
        <v>0</v>
      </c>
      <c r="F7" s="61" t="s">
        <v>165</v>
      </c>
      <c r="G7" s="58" t="s">
        <v>167</v>
      </c>
      <c r="H7" s="62"/>
      <c r="I7" s="63" t="s">
        <v>42</v>
      </c>
      <c r="J7" s="74" t="s">
        <v>39</v>
      </c>
      <c r="K7" s="55" t="s">
        <v>202</v>
      </c>
      <c r="L7" s="63" t="s">
        <v>81</v>
      </c>
      <c r="M7" s="55" t="s">
        <v>79</v>
      </c>
    </row>
    <row r="8" spans="1:14" s="56" customFormat="1" ht="15" thickBot="1" x14ac:dyDescent="0.35">
      <c r="A8" s="63" t="s">
        <v>22</v>
      </c>
      <c r="B8" s="15" t="s">
        <v>8</v>
      </c>
      <c r="C8" s="15" t="s">
        <v>12</v>
      </c>
      <c r="D8" s="55" t="s">
        <v>79</v>
      </c>
      <c r="E8" s="19" t="b">
        <v>0</v>
      </c>
      <c r="F8" s="61" t="s">
        <v>166</v>
      </c>
      <c r="G8" s="58" t="s">
        <v>168</v>
      </c>
      <c r="H8" s="62"/>
      <c r="I8" s="63" t="s">
        <v>25</v>
      </c>
      <c r="J8" s="74" t="s">
        <v>22</v>
      </c>
      <c r="K8" s="55" t="s">
        <v>203</v>
      </c>
      <c r="L8" s="63" t="s">
        <v>81</v>
      </c>
      <c r="M8" s="55" t="s">
        <v>79</v>
      </c>
    </row>
    <row r="9" spans="1:14" s="56" customFormat="1" x14ac:dyDescent="0.3">
      <c r="A9" s="46" t="s">
        <v>73</v>
      </c>
      <c r="B9" s="48" t="s">
        <v>8</v>
      </c>
      <c r="C9" s="48" t="s">
        <v>12</v>
      </c>
      <c r="D9" s="48" t="s">
        <v>118</v>
      </c>
      <c r="E9" s="50" t="b">
        <v>0</v>
      </c>
      <c r="F9" s="51" t="s">
        <v>119</v>
      </c>
      <c r="G9" s="47" t="s">
        <v>120</v>
      </c>
      <c r="H9" s="52"/>
      <c r="I9" s="46" t="s">
        <v>76</v>
      </c>
      <c r="J9" s="47" t="s">
        <v>73</v>
      </c>
      <c r="K9" s="52" t="s">
        <v>201</v>
      </c>
      <c r="L9" s="46" t="s">
        <v>121</v>
      </c>
      <c r="M9" s="52" t="s">
        <v>118</v>
      </c>
    </row>
    <row r="10" spans="1:14" s="56" customFormat="1" x14ac:dyDescent="0.3">
      <c r="A10" s="75" t="s">
        <v>118</v>
      </c>
      <c r="B10" s="59" t="s">
        <v>8</v>
      </c>
      <c r="C10" s="59" t="s">
        <v>12</v>
      </c>
      <c r="D10" s="76" t="s">
        <v>210</v>
      </c>
      <c r="E10" s="60" t="b">
        <v>0</v>
      </c>
      <c r="F10" s="77" t="s">
        <v>122</v>
      </c>
      <c r="G10" s="78" t="s">
        <v>123</v>
      </c>
      <c r="H10" s="79"/>
      <c r="I10" s="75" t="s">
        <v>121</v>
      </c>
      <c r="J10" s="80" t="str">
        <f>A10</f>
        <v>Biodiesel</v>
      </c>
      <c r="K10" s="81" t="s">
        <v>204</v>
      </c>
      <c r="L10" s="75" t="s">
        <v>124</v>
      </c>
      <c r="M10" s="81" t="s">
        <v>210</v>
      </c>
    </row>
    <row r="11" spans="1:14" s="56" customFormat="1" ht="15" thickBot="1" x14ac:dyDescent="0.35">
      <c r="A11" s="82" t="s">
        <v>22</v>
      </c>
      <c r="B11" s="65" t="s">
        <v>8</v>
      </c>
      <c r="C11" s="65" t="s">
        <v>12</v>
      </c>
      <c r="D11" s="83" t="s">
        <v>210</v>
      </c>
      <c r="E11" s="66" t="b">
        <v>1</v>
      </c>
      <c r="F11" s="84" t="s">
        <v>122</v>
      </c>
      <c r="G11" s="85" t="s">
        <v>123</v>
      </c>
      <c r="H11" s="86"/>
      <c r="I11" s="82" t="s">
        <v>25</v>
      </c>
      <c r="J11" s="87" t="s">
        <v>22</v>
      </c>
      <c r="K11" s="88" t="s">
        <v>203</v>
      </c>
      <c r="L11" s="82" t="s">
        <v>124</v>
      </c>
      <c r="M11" s="88" t="s">
        <v>210</v>
      </c>
    </row>
    <row r="12" spans="1:14" s="56" customFormat="1" x14ac:dyDescent="0.3">
      <c r="A12" s="46" t="s">
        <v>68</v>
      </c>
      <c r="B12" s="48" t="s">
        <v>8</v>
      </c>
      <c r="C12" s="48" t="s">
        <v>12</v>
      </c>
      <c r="D12" s="48" t="s">
        <v>125</v>
      </c>
      <c r="E12" s="50" t="b">
        <v>0</v>
      </c>
      <c r="F12" s="51" t="s">
        <v>126</v>
      </c>
      <c r="G12" s="47" t="s">
        <v>127</v>
      </c>
      <c r="H12" s="52"/>
      <c r="I12" s="46" t="s">
        <v>71</v>
      </c>
      <c r="J12" s="47" t="str">
        <f>A12</f>
        <v>Sugarcane</v>
      </c>
      <c r="K12" s="52" t="s">
        <v>200</v>
      </c>
      <c r="L12" s="46" t="s">
        <v>128</v>
      </c>
      <c r="M12" s="52" t="s">
        <v>129</v>
      </c>
    </row>
    <row r="13" spans="1:14" s="56" customFormat="1" x14ac:dyDescent="0.3">
      <c r="A13" s="89" t="s">
        <v>129</v>
      </c>
      <c r="B13" s="59" t="s">
        <v>8</v>
      </c>
      <c r="C13" s="59" t="s">
        <v>12</v>
      </c>
      <c r="D13" s="90" t="s">
        <v>211</v>
      </c>
      <c r="E13" s="60" t="b">
        <v>0</v>
      </c>
      <c r="F13" s="91" t="s">
        <v>130</v>
      </c>
      <c r="G13" s="92" t="s">
        <v>131</v>
      </c>
      <c r="H13" s="93"/>
      <c r="I13" s="89" t="s">
        <v>128</v>
      </c>
      <c r="J13" s="94" t="str">
        <f>A13</f>
        <v>Etanol</v>
      </c>
      <c r="K13" s="95" t="s">
        <v>129</v>
      </c>
      <c r="L13" s="89" t="s">
        <v>132</v>
      </c>
      <c r="M13" s="95" t="s">
        <v>211</v>
      </c>
    </row>
    <row r="14" spans="1:14" s="56" customFormat="1" ht="15" thickBot="1" x14ac:dyDescent="0.35">
      <c r="A14" s="96" t="s">
        <v>26</v>
      </c>
      <c r="B14" s="65" t="s">
        <v>8</v>
      </c>
      <c r="C14" s="65" t="s">
        <v>12</v>
      </c>
      <c r="D14" s="97" t="s">
        <v>211</v>
      </c>
      <c r="E14" s="66" t="b">
        <v>1</v>
      </c>
      <c r="F14" s="98" t="s">
        <v>130</v>
      </c>
      <c r="G14" s="99" t="s">
        <v>131</v>
      </c>
      <c r="H14" s="100"/>
      <c r="I14" s="96" t="s">
        <v>29</v>
      </c>
      <c r="J14" s="101" t="s">
        <v>26</v>
      </c>
      <c r="K14" s="102" t="s">
        <v>205</v>
      </c>
      <c r="L14" s="96" t="s">
        <v>132</v>
      </c>
      <c r="M14" s="102" t="s">
        <v>211</v>
      </c>
    </row>
    <row r="15" spans="1:14" s="56" customFormat="1" x14ac:dyDescent="0.3">
      <c r="A15" s="63" t="s">
        <v>79</v>
      </c>
      <c r="B15" s="58" t="s">
        <v>8</v>
      </c>
      <c r="C15" s="59" t="s">
        <v>12</v>
      </c>
      <c r="D15" s="103" t="s">
        <v>170</v>
      </c>
      <c r="E15" s="60" t="b">
        <v>0</v>
      </c>
      <c r="F15" s="61" t="s">
        <v>134</v>
      </c>
      <c r="G15" s="58" t="s">
        <v>135</v>
      </c>
      <c r="H15" s="62"/>
      <c r="I15" s="63" t="s">
        <v>92</v>
      </c>
      <c r="J15" s="58" t="s">
        <v>136</v>
      </c>
      <c r="K15" s="62" t="s">
        <v>206</v>
      </c>
      <c r="L15" s="63" t="s">
        <v>137</v>
      </c>
      <c r="M15" s="59" t="s">
        <v>138</v>
      </c>
      <c r="N15" s="60"/>
    </row>
    <row r="16" spans="1:14" s="56" customFormat="1" x14ac:dyDescent="0.3">
      <c r="A16" s="63" t="s">
        <v>79</v>
      </c>
      <c r="B16" s="58" t="s">
        <v>8</v>
      </c>
      <c r="C16" s="59" t="s">
        <v>12</v>
      </c>
      <c r="D16" s="103" t="s">
        <v>170</v>
      </c>
      <c r="E16" s="60" t="b">
        <v>0</v>
      </c>
      <c r="F16" s="61" t="s">
        <v>139</v>
      </c>
      <c r="G16" s="58" t="s">
        <v>140</v>
      </c>
      <c r="H16" s="62"/>
      <c r="I16" s="63" t="s">
        <v>110</v>
      </c>
      <c r="J16" s="58" t="s">
        <v>141</v>
      </c>
      <c r="K16" s="62" t="s">
        <v>207</v>
      </c>
      <c r="L16" s="63" t="s">
        <v>137</v>
      </c>
      <c r="M16" s="59" t="s">
        <v>138</v>
      </c>
      <c r="N16" s="104"/>
    </row>
    <row r="17" spans="1:14" s="56" customFormat="1" x14ac:dyDescent="0.3">
      <c r="A17" s="63" t="s">
        <v>79</v>
      </c>
      <c r="B17" s="58" t="s">
        <v>8</v>
      </c>
      <c r="C17" s="59" t="s">
        <v>12</v>
      </c>
      <c r="D17" s="103" t="s">
        <v>170</v>
      </c>
      <c r="E17" s="60" t="b">
        <v>0</v>
      </c>
      <c r="F17" s="61" t="s">
        <v>142</v>
      </c>
      <c r="G17" s="58" t="s">
        <v>143</v>
      </c>
      <c r="H17" s="62"/>
      <c r="I17" s="63" t="s">
        <v>76</v>
      </c>
      <c r="J17" s="58" t="s">
        <v>144</v>
      </c>
      <c r="K17" s="62" t="s">
        <v>208</v>
      </c>
      <c r="L17" s="63" t="s">
        <v>137</v>
      </c>
      <c r="M17" s="59" t="s">
        <v>138</v>
      </c>
      <c r="N17" s="104"/>
    </row>
    <row r="18" spans="1:14" s="56" customFormat="1" x14ac:dyDescent="0.3">
      <c r="A18" s="63" t="s">
        <v>79</v>
      </c>
      <c r="B18" s="58" t="s">
        <v>8</v>
      </c>
      <c r="C18" s="59" t="s">
        <v>12</v>
      </c>
      <c r="D18" s="103" t="s">
        <v>170</v>
      </c>
      <c r="E18" s="60" t="b">
        <v>0</v>
      </c>
      <c r="F18" s="61" t="s">
        <v>145</v>
      </c>
      <c r="G18" s="58" t="s">
        <v>146</v>
      </c>
      <c r="H18" s="62"/>
      <c r="I18" s="63" t="s">
        <v>116</v>
      </c>
      <c r="J18" s="58" t="s">
        <v>141</v>
      </c>
      <c r="K18" s="62" t="s">
        <v>207</v>
      </c>
      <c r="L18" s="63" t="s">
        <v>137</v>
      </c>
      <c r="M18" s="59" t="s">
        <v>138</v>
      </c>
      <c r="N18" s="104"/>
    </row>
    <row r="19" spans="1:14" s="56" customFormat="1" ht="15" thickBot="1" x14ac:dyDescent="0.35">
      <c r="A19" s="105" t="s">
        <v>133</v>
      </c>
      <c r="B19" s="68" t="s">
        <v>112</v>
      </c>
      <c r="C19" s="65" t="s">
        <v>12</v>
      </c>
      <c r="D19" s="65" t="s">
        <v>147</v>
      </c>
      <c r="E19" s="66" t="b">
        <v>1</v>
      </c>
      <c r="F19" s="67" t="s">
        <v>148</v>
      </c>
      <c r="G19" s="68" t="s">
        <v>149</v>
      </c>
      <c r="H19" s="69"/>
      <c r="I19" s="64" t="s">
        <v>137</v>
      </c>
      <c r="J19" s="65" t="s">
        <v>138</v>
      </c>
      <c r="K19" s="66" t="s">
        <v>209</v>
      </c>
      <c r="L19" s="64" t="s">
        <v>150</v>
      </c>
      <c r="M19" s="65" t="s">
        <v>151</v>
      </c>
      <c r="N19" s="66"/>
    </row>
  </sheetData>
  <autoFilter ref="A1:N19" xr:uid="{F3D3F466-5712-4E2F-BFB1-24D1EC490CA3}"/>
  <pageMargins left="0.7" right="0.7" top="0.75" bottom="0.75" header="0.3" footer="0.3"/>
  <pageSetup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208DE3-0D5B-4F6A-9D6D-5FE03D94DC1C}"/>
</file>

<file path=customXml/itemProps2.xml><?xml version="1.0" encoding="utf-8"?>
<ds:datastoreItem xmlns:ds="http://schemas.openxmlformats.org/officeDocument/2006/customXml" ds:itemID="{FF6E3E9D-60C7-4643-91EF-AD66852F9C90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</ds:schemaRefs>
</ds:datastoreItem>
</file>

<file path=customXml/itemProps3.xml><?xml version="1.0" encoding="utf-8"?>
<ds:datastoreItem xmlns:ds="http://schemas.openxmlformats.org/officeDocument/2006/customXml" ds:itemID="{403D9D63-26D9-4EB4-B4C2-560BB6B22F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PrimaryEnergy</vt:lpstr>
      <vt:lpstr>README</vt:lpstr>
      <vt:lpstr>SecondaryEnergy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Mariana Rodríguez-Arce</cp:lastModifiedBy>
  <dcterms:created xsi:type="dcterms:W3CDTF">2015-06-05T18:17:20Z</dcterms:created>
  <dcterms:modified xsi:type="dcterms:W3CDTF">2025-03-25T00:14:14Z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
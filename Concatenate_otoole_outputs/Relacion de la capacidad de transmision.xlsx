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"/>
    </mc:Choice>
  </mc:AlternateContent>
  <xr:revisionPtr revIDLastSave="0" documentId="13_ncr:1_{CDDBAF03-9D7B-428D-B3FF-8F5271CC48FB}" xr6:coauthVersionLast="47" xr6:coauthVersionMax="47" xr10:uidLastSave="{00000000-0000-0000-0000-000000000000}"/>
  <bookViews>
    <workbookView xWindow="28680" yWindow="-120" windowWidth="29040" windowHeight="15720" xr2:uid="{5D363577-1929-438D-AB78-2A986C6639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L2" i="1"/>
  <c r="F14" i="1"/>
  <c r="F15" i="1"/>
  <c r="F16" i="1"/>
  <c r="F17" i="1"/>
  <c r="F18" i="1"/>
  <c r="F19" i="1"/>
  <c r="F20" i="1"/>
  <c r="F21" i="1"/>
  <c r="F22" i="1"/>
  <c r="I10" i="1"/>
  <c r="I11" i="1"/>
  <c r="I12" i="1"/>
  <c r="I13" i="1"/>
  <c r="I14" i="1"/>
  <c r="I15" i="1"/>
  <c r="I16" i="1"/>
  <c r="I17" i="1"/>
  <c r="I18" i="1"/>
  <c r="H25" i="1"/>
  <c r="I25" i="1" s="1"/>
  <c r="C25" i="1"/>
  <c r="F25" i="1" s="1"/>
  <c r="C3" i="1"/>
  <c r="F3" i="1" s="1"/>
  <c r="C4" i="1"/>
  <c r="F4" i="1" s="1"/>
  <c r="C5" i="1"/>
  <c r="F5" i="1" s="1"/>
  <c r="C6" i="1"/>
  <c r="F6" i="1" s="1"/>
  <c r="C7" i="1"/>
  <c r="F7" i="1" s="1"/>
  <c r="C8" i="1"/>
  <c r="F8" i="1" s="1"/>
  <c r="C9" i="1"/>
  <c r="F9" i="1" s="1"/>
  <c r="C10" i="1"/>
  <c r="F10" i="1" s="1"/>
  <c r="C11" i="1"/>
  <c r="F11" i="1" s="1"/>
  <c r="C12" i="1"/>
  <c r="F12" i="1" s="1"/>
  <c r="C13" i="1"/>
  <c r="F13" i="1" s="1"/>
  <c r="C14" i="1"/>
  <c r="C15" i="1"/>
  <c r="C16" i="1"/>
  <c r="C17" i="1"/>
  <c r="C18" i="1"/>
  <c r="C19" i="1"/>
  <c r="C20" i="1"/>
  <c r="C21" i="1"/>
  <c r="C22" i="1"/>
  <c r="C23" i="1"/>
  <c r="F23" i="1" s="1"/>
  <c r="C24" i="1"/>
  <c r="F24" i="1" s="1"/>
  <c r="C2" i="1"/>
  <c r="F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H11" i="1"/>
  <c r="H12" i="1"/>
  <c r="H13" i="1"/>
  <c r="H14" i="1"/>
  <c r="H15" i="1"/>
  <c r="H16" i="1"/>
  <c r="H17" i="1"/>
  <c r="H18" i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" i="1"/>
  <c r="I2" i="1" s="1"/>
  <c r="J3" i="2"/>
  <c r="J4" i="2"/>
  <c r="J2" i="2"/>
  <c r="D3" i="2"/>
  <c r="D4" i="2"/>
  <c r="D2" i="2"/>
</calcChain>
</file>

<file path=xl/sharedStrings.xml><?xml version="1.0" encoding="utf-8"?>
<sst xmlns="http://schemas.openxmlformats.org/spreadsheetml/2006/main" count="21" uniqueCount="16">
  <si>
    <t>Timeslices</t>
  </si>
  <si>
    <t>Capacity</t>
  </si>
  <si>
    <t>% Error</t>
  </si>
  <si>
    <t>Activity1</t>
  </si>
  <si>
    <t>Activity2</t>
  </si>
  <si>
    <t>Activity Total</t>
  </si>
  <si>
    <t>Seasons</t>
  </si>
  <si>
    <t>Dayparts</t>
  </si>
  <si>
    <t>Hours D 1</t>
  </si>
  <si>
    <t>Hours D 2</t>
  </si>
  <si>
    <t>Diference</t>
  </si>
  <si>
    <t xml:space="preserve"> Corrective Factor</t>
  </si>
  <si>
    <t>MAX(Demand)</t>
  </si>
  <si>
    <t>Demand Total</t>
  </si>
  <si>
    <t>MAX(RateOfActivity)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</si>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</sst>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7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23F8-0F72-44BA-A23E-9BF0544F8CE4}">
  <dimension ref="A1:M25"/>
  <sheetViews>
    <sheetView tabSelected="1" zoomScale="150" zoomScaleNormal="150" workbookViewId="0">
      <selection activeCell="K3" sqref="K3"/>
    </sheetView>
  </sheetViews>
  <sheetFormatPr defaultRowHeight="15" x14ac:dyDescent="0.25"/>
  <cols>
    <col min="3" max="3" width="10.42578125" bestFit="1" customWidth="1"/>
    <col min="4" max="4" width="8.5703125" bestFit="1" customWidth="1"/>
    <col min="5" max="5" width="12.42578125" bestFit="1" customWidth="1"/>
    <col min="6" max="6" width="10.85546875" bestFit="1" customWidth="1"/>
    <col min="7" max="7" width="12" bestFit="1" customWidth="1"/>
    <col min="8" max="8" width="9.28515625" bestFit="1" customWidth="1"/>
    <col min="9" max="9" width="16.28515625" bestFit="1" customWidth="1"/>
    <col min="11" max="11" width="18.5703125" bestFit="1" customWidth="1"/>
  </cols>
  <sheetData>
    <row r="1" spans="1:13" x14ac:dyDescent="0.25">
      <c r="A1" t="s">
        <v>6</v>
      </c>
      <c r="B1" t="s">
        <v>7</v>
      </c>
      <c r="C1" t="s">
        <v>0</v>
      </c>
      <c r="D1" t="s">
        <v>1</v>
      </c>
      <c r="E1" t="s">
        <v>12</v>
      </c>
      <c r="F1" t="s">
        <v>2</v>
      </c>
      <c r="G1" t="s">
        <v>13</v>
      </c>
      <c r="H1" t="s">
        <v>10</v>
      </c>
      <c r="I1" t="s">
        <v>11</v>
      </c>
      <c r="K1" t="s">
        <v>14</v>
      </c>
      <c r="L1" t="s">
        <v>15</v>
      </c>
      <c r="M1" t="s">
        <v>2</v>
      </c>
    </row>
    <row r="2" spans="1:13" x14ac:dyDescent="0.25">
      <c r="A2">
        <v>1</v>
      </c>
      <c r="B2">
        <v>2</v>
      </c>
      <c r="C2">
        <f>A2*B2</f>
        <v>2</v>
      </c>
      <c r="D2">
        <v>4537</v>
      </c>
      <c r="E2">
        <v>2258</v>
      </c>
      <c r="F2" s="1">
        <f>ABS((D2-E2*C2)/D2)</f>
        <v>4.6286092131364335E-3</v>
      </c>
      <c r="G2">
        <v>4181</v>
      </c>
      <c r="H2">
        <f>D2-G2</f>
        <v>356</v>
      </c>
      <c r="I2" s="3">
        <f>H2/D2</f>
        <v>7.8465946660789071E-2</v>
      </c>
      <c r="J2" s="1"/>
      <c r="K2">
        <v>4512</v>
      </c>
      <c r="L2">
        <f>D2-K2</f>
        <v>25</v>
      </c>
      <c r="M2" s="2">
        <f>ABS((D2-K2)/D2)</f>
        <v>5.5102490632576596E-3</v>
      </c>
    </row>
    <row r="3" spans="1:13" x14ac:dyDescent="0.25">
      <c r="A3">
        <v>1</v>
      </c>
      <c r="B3">
        <v>3</v>
      </c>
      <c r="C3">
        <f t="shared" ref="C3:C25" si="0">A3*B3</f>
        <v>3</v>
      </c>
      <c r="D3">
        <v>4537</v>
      </c>
      <c r="E3">
        <v>1505</v>
      </c>
      <c r="F3" s="1">
        <f t="shared" ref="F3:F25" si="1">ABS((D3-E3*C3)/D3)</f>
        <v>4.8490191756667403E-3</v>
      </c>
      <c r="G3">
        <v>4181</v>
      </c>
      <c r="H3">
        <f>D3-G3</f>
        <v>356</v>
      </c>
      <c r="I3" s="3">
        <f>H3/D3</f>
        <v>7.8465946660789071E-2</v>
      </c>
      <c r="J3" s="1"/>
      <c r="K3">
        <v>4512</v>
      </c>
      <c r="L3">
        <f t="shared" ref="L3:L25" si="2">D3-K3</f>
        <v>25</v>
      </c>
      <c r="M3" s="2">
        <f t="shared" ref="M3:M25" si="3">ABS((D3-K3)/D3)</f>
        <v>5.5102490632576596E-3</v>
      </c>
    </row>
    <row r="4" spans="1:13" x14ac:dyDescent="0.25">
      <c r="A4">
        <v>1</v>
      </c>
      <c r="B4">
        <v>4</v>
      </c>
      <c r="C4">
        <f t="shared" si="0"/>
        <v>4</v>
      </c>
      <c r="D4">
        <v>4537</v>
      </c>
      <c r="E4">
        <v>1129</v>
      </c>
      <c r="F4" s="1">
        <f t="shared" si="1"/>
        <v>4.6286092131364335E-3</v>
      </c>
      <c r="G4">
        <v>4181</v>
      </c>
      <c r="H4">
        <f>D4-G4</f>
        <v>356</v>
      </c>
      <c r="I4" s="3">
        <f>H4/D4</f>
        <v>7.8465946660789071E-2</v>
      </c>
      <c r="J4" s="1"/>
      <c r="K4">
        <v>4516</v>
      </c>
      <c r="L4">
        <f t="shared" si="2"/>
        <v>21</v>
      </c>
      <c r="M4" s="2">
        <f t="shared" si="3"/>
        <v>4.6286092131364335E-3</v>
      </c>
    </row>
    <row r="5" spans="1:13" x14ac:dyDescent="0.25">
      <c r="A5">
        <v>1</v>
      </c>
      <c r="B5">
        <v>5</v>
      </c>
      <c r="C5">
        <f t="shared" si="0"/>
        <v>5</v>
      </c>
      <c r="D5">
        <v>4638</v>
      </c>
      <c r="E5">
        <v>962</v>
      </c>
      <c r="F5" s="1">
        <f t="shared" si="1"/>
        <v>3.7084950409659333E-2</v>
      </c>
      <c r="G5">
        <v>4181</v>
      </c>
      <c r="H5">
        <f>D5-G5</f>
        <v>457</v>
      </c>
      <c r="I5" s="3">
        <f>H5/D5</f>
        <v>9.8533850797757658E-2</v>
      </c>
      <c r="J5" s="1"/>
      <c r="K5">
        <v>4613</v>
      </c>
      <c r="L5">
        <f t="shared" si="2"/>
        <v>25</v>
      </c>
      <c r="M5" s="2">
        <f t="shared" si="3"/>
        <v>5.3902544200086248E-3</v>
      </c>
    </row>
    <row r="6" spans="1:13" x14ac:dyDescent="0.25">
      <c r="A6">
        <v>1</v>
      </c>
      <c r="B6">
        <v>6</v>
      </c>
      <c r="C6">
        <f t="shared" si="0"/>
        <v>6</v>
      </c>
      <c r="D6">
        <v>4536</v>
      </c>
      <c r="E6">
        <v>753</v>
      </c>
      <c r="F6" s="1">
        <f t="shared" si="1"/>
        <v>3.968253968253968E-3</v>
      </c>
      <c r="G6">
        <v>4223</v>
      </c>
      <c r="H6">
        <f>D6-G6</f>
        <v>313</v>
      </c>
      <c r="I6" s="3">
        <f>H6/D6</f>
        <v>6.9003527336860673E-2</v>
      </c>
      <c r="J6" s="1"/>
      <c r="K6">
        <v>4511</v>
      </c>
      <c r="L6">
        <f t="shared" si="2"/>
        <v>25</v>
      </c>
      <c r="M6" s="2">
        <f t="shared" si="3"/>
        <v>5.5114638447971778E-3</v>
      </c>
    </row>
    <row r="7" spans="1:13" x14ac:dyDescent="0.25">
      <c r="A7">
        <v>1</v>
      </c>
      <c r="B7">
        <v>7</v>
      </c>
      <c r="C7">
        <f t="shared" si="0"/>
        <v>7</v>
      </c>
      <c r="D7">
        <v>4536</v>
      </c>
      <c r="E7">
        <v>753</v>
      </c>
      <c r="F7" s="1">
        <f t="shared" si="1"/>
        <v>0.16203703703703703</v>
      </c>
      <c r="G7">
        <v>4139</v>
      </c>
      <c r="H7">
        <f>D7-G7</f>
        <v>397</v>
      </c>
      <c r="I7" s="3">
        <f>H7/D7</f>
        <v>8.7522045855379191E-2</v>
      </c>
      <c r="J7" s="1"/>
      <c r="K7">
        <v>4511</v>
      </c>
      <c r="L7">
        <f t="shared" si="2"/>
        <v>25</v>
      </c>
      <c r="M7" s="2">
        <f t="shared" si="3"/>
        <v>5.5114638447971778E-3</v>
      </c>
    </row>
    <row r="8" spans="1:13" x14ac:dyDescent="0.25">
      <c r="A8">
        <v>1</v>
      </c>
      <c r="B8">
        <v>8</v>
      </c>
      <c r="C8">
        <f t="shared" si="0"/>
        <v>8</v>
      </c>
      <c r="D8">
        <v>4705</v>
      </c>
      <c r="E8">
        <v>585</v>
      </c>
      <c r="F8" s="1">
        <f t="shared" si="1"/>
        <v>5.3134962805526037E-3</v>
      </c>
      <c r="G8">
        <v>4181</v>
      </c>
      <c r="H8">
        <f>D8-G8</f>
        <v>524</v>
      </c>
      <c r="I8" s="3">
        <f>H8/D8</f>
        <v>0.11137088204038258</v>
      </c>
      <c r="J8" s="1"/>
      <c r="K8">
        <v>4679</v>
      </c>
      <c r="L8">
        <f t="shared" si="2"/>
        <v>26</v>
      </c>
      <c r="M8" s="2">
        <f t="shared" si="3"/>
        <v>5.5260361317747081E-3</v>
      </c>
    </row>
    <row r="9" spans="1:13" x14ac:dyDescent="0.25">
      <c r="A9">
        <v>1</v>
      </c>
      <c r="B9">
        <v>9</v>
      </c>
      <c r="C9">
        <f t="shared" si="0"/>
        <v>9</v>
      </c>
      <c r="D9">
        <v>4705</v>
      </c>
      <c r="E9">
        <v>585</v>
      </c>
      <c r="F9" s="1">
        <f t="shared" si="1"/>
        <v>0.11902231668437832</v>
      </c>
      <c r="G9">
        <v>4181</v>
      </c>
      <c r="H9">
        <f>D9-G9</f>
        <v>524</v>
      </c>
      <c r="I9" s="3">
        <f>H9/D9</f>
        <v>0.11137088204038258</v>
      </c>
      <c r="J9" s="1"/>
      <c r="K9">
        <v>4679</v>
      </c>
      <c r="L9">
        <f t="shared" si="2"/>
        <v>26</v>
      </c>
      <c r="M9" s="2">
        <f t="shared" si="3"/>
        <v>5.5260361317747081E-3</v>
      </c>
    </row>
    <row r="10" spans="1:13" x14ac:dyDescent="0.25">
      <c r="A10">
        <v>1</v>
      </c>
      <c r="B10">
        <v>10</v>
      </c>
      <c r="C10">
        <f t="shared" si="0"/>
        <v>10</v>
      </c>
      <c r="D10">
        <v>4705</v>
      </c>
      <c r="E10">
        <v>585</v>
      </c>
      <c r="F10" s="1">
        <f t="shared" si="1"/>
        <v>0.24335812964930925</v>
      </c>
      <c r="G10">
        <v>4181</v>
      </c>
      <c r="H10">
        <f>D10-G10</f>
        <v>524</v>
      </c>
      <c r="I10" s="3">
        <f>H10/D10</f>
        <v>0.11137088204038258</v>
      </c>
      <c r="J10" s="1"/>
      <c r="K10">
        <v>4679</v>
      </c>
      <c r="L10">
        <f t="shared" si="2"/>
        <v>26</v>
      </c>
      <c r="M10" s="2">
        <f t="shared" si="3"/>
        <v>5.5260361317747081E-3</v>
      </c>
    </row>
    <row r="11" spans="1:13" x14ac:dyDescent="0.25">
      <c r="A11">
        <v>1</v>
      </c>
      <c r="B11">
        <v>11</v>
      </c>
      <c r="C11">
        <f t="shared" si="0"/>
        <v>11</v>
      </c>
      <c r="D11">
        <v>4705</v>
      </c>
      <c r="E11">
        <v>585</v>
      </c>
      <c r="F11" s="1">
        <f t="shared" si="1"/>
        <v>0.36769394261424015</v>
      </c>
      <c r="G11">
        <v>4139</v>
      </c>
      <c r="H11">
        <f>D11-G11</f>
        <v>566</v>
      </c>
      <c r="I11" s="3">
        <f>H11/D11</f>
        <v>0.12029755579171095</v>
      </c>
      <c r="J11" s="1"/>
      <c r="K11">
        <v>4679</v>
      </c>
      <c r="L11">
        <f t="shared" si="2"/>
        <v>26</v>
      </c>
      <c r="M11" s="2">
        <f t="shared" si="3"/>
        <v>5.5260361317747081E-3</v>
      </c>
    </row>
    <row r="12" spans="1:13" x14ac:dyDescent="0.25">
      <c r="A12">
        <v>1</v>
      </c>
      <c r="B12">
        <v>12</v>
      </c>
      <c r="C12">
        <f t="shared" si="0"/>
        <v>12</v>
      </c>
      <c r="D12">
        <v>4538</v>
      </c>
      <c r="E12">
        <v>376</v>
      </c>
      <c r="F12" s="1">
        <f t="shared" si="1"/>
        <v>5.7293962097840455E-3</v>
      </c>
      <c r="G12">
        <v>4181</v>
      </c>
      <c r="H12">
        <f>D12-G12</f>
        <v>357</v>
      </c>
      <c r="I12" s="3">
        <f>H12/D12</f>
        <v>7.8669017188188625E-2</v>
      </c>
      <c r="J12" s="1"/>
      <c r="K12">
        <v>4514</v>
      </c>
      <c r="L12">
        <f t="shared" si="2"/>
        <v>24</v>
      </c>
      <c r="M12" s="2">
        <f t="shared" si="3"/>
        <v>5.2886734244160421E-3</v>
      </c>
    </row>
    <row r="13" spans="1:13" x14ac:dyDescent="0.25">
      <c r="A13">
        <v>1</v>
      </c>
      <c r="B13">
        <v>13</v>
      </c>
      <c r="C13">
        <f t="shared" si="0"/>
        <v>13</v>
      </c>
      <c r="D13">
        <v>5037</v>
      </c>
      <c r="E13">
        <v>376</v>
      </c>
      <c r="F13" s="1">
        <f t="shared" si="1"/>
        <v>2.9581099861028391E-2</v>
      </c>
      <c r="G13">
        <v>4139</v>
      </c>
      <c r="H13">
        <f>D13-G13</f>
        <v>898</v>
      </c>
      <c r="I13" s="3">
        <f>H13/D13</f>
        <v>0.17828072265237244</v>
      </c>
      <c r="J13" s="1"/>
      <c r="K13">
        <v>5009</v>
      </c>
      <c r="L13">
        <f t="shared" si="2"/>
        <v>28</v>
      </c>
      <c r="M13" s="2">
        <f t="shared" si="3"/>
        <v>5.5588644034147306E-3</v>
      </c>
    </row>
    <row r="14" spans="1:13" x14ac:dyDescent="0.25">
      <c r="A14">
        <v>1</v>
      </c>
      <c r="B14">
        <v>14</v>
      </c>
      <c r="C14">
        <f t="shared" si="0"/>
        <v>14</v>
      </c>
      <c r="D14">
        <v>5037</v>
      </c>
      <c r="E14">
        <v>376</v>
      </c>
      <c r="F14" s="1">
        <f t="shared" si="1"/>
        <v>4.5066507841969423E-2</v>
      </c>
      <c r="G14">
        <v>4181</v>
      </c>
      <c r="H14">
        <f>D14-G14</f>
        <v>856</v>
      </c>
      <c r="I14" s="3">
        <f>H14/D14</f>
        <v>0.16994242604725035</v>
      </c>
      <c r="J14" s="1"/>
      <c r="K14">
        <v>5009</v>
      </c>
      <c r="L14">
        <f t="shared" si="2"/>
        <v>28</v>
      </c>
      <c r="M14" s="2">
        <f t="shared" si="3"/>
        <v>5.5588644034147306E-3</v>
      </c>
    </row>
    <row r="15" spans="1:13" x14ac:dyDescent="0.25">
      <c r="A15">
        <v>1</v>
      </c>
      <c r="B15">
        <v>15</v>
      </c>
      <c r="C15">
        <f t="shared" si="0"/>
        <v>15</v>
      </c>
      <c r="D15">
        <v>4538</v>
      </c>
      <c r="E15">
        <v>376</v>
      </c>
      <c r="F15" s="1">
        <f t="shared" si="1"/>
        <v>0.24283825473776993</v>
      </c>
      <c r="G15">
        <v>4055</v>
      </c>
      <c r="H15">
        <f>D15-G15</f>
        <v>483</v>
      </c>
      <c r="I15" s="3">
        <f>H15/D15</f>
        <v>0.10643455266637285</v>
      </c>
      <c r="J15" s="1"/>
      <c r="K15">
        <v>4514</v>
      </c>
      <c r="L15">
        <f t="shared" si="2"/>
        <v>24</v>
      </c>
      <c r="M15" s="2">
        <f t="shared" si="3"/>
        <v>5.2886734244160421E-3</v>
      </c>
    </row>
    <row r="16" spans="1:13" x14ac:dyDescent="0.25">
      <c r="A16">
        <v>1</v>
      </c>
      <c r="B16">
        <v>16</v>
      </c>
      <c r="C16">
        <f t="shared" si="0"/>
        <v>16</v>
      </c>
      <c r="D16">
        <v>5037</v>
      </c>
      <c r="E16">
        <v>376</v>
      </c>
      <c r="F16" s="1">
        <f t="shared" si="1"/>
        <v>0.19436172324796505</v>
      </c>
      <c r="G16">
        <v>4181</v>
      </c>
      <c r="H16">
        <f>D16-G16</f>
        <v>856</v>
      </c>
      <c r="I16" s="3">
        <f>H16/D16</f>
        <v>0.16994242604725035</v>
      </c>
      <c r="J16" s="1"/>
      <c r="K16">
        <v>5009</v>
      </c>
      <c r="L16">
        <f t="shared" si="2"/>
        <v>28</v>
      </c>
      <c r="M16" s="2">
        <f t="shared" si="3"/>
        <v>5.5588644034147306E-3</v>
      </c>
    </row>
    <row r="17" spans="1:13" x14ac:dyDescent="0.25">
      <c r="A17">
        <v>1</v>
      </c>
      <c r="B17">
        <v>17</v>
      </c>
      <c r="C17">
        <f t="shared" si="0"/>
        <v>17</v>
      </c>
      <c r="D17">
        <v>5037</v>
      </c>
      <c r="E17">
        <v>376</v>
      </c>
      <c r="F17" s="1">
        <f t="shared" si="1"/>
        <v>0.26900933095096285</v>
      </c>
      <c r="G17">
        <v>4139</v>
      </c>
      <c r="H17">
        <f>D17-G17</f>
        <v>898</v>
      </c>
      <c r="I17" s="3">
        <f>H17/D17</f>
        <v>0.17828072265237244</v>
      </c>
      <c r="J17" s="1"/>
      <c r="K17">
        <v>5009</v>
      </c>
      <c r="L17">
        <f t="shared" si="2"/>
        <v>28</v>
      </c>
      <c r="M17" s="2">
        <f t="shared" si="3"/>
        <v>5.5588644034147306E-3</v>
      </c>
    </row>
    <row r="18" spans="1:13" x14ac:dyDescent="0.25">
      <c r="A18">
        <v>1</v>
      </c>
      <c r="B18">
        <v>18</v>
      </c>
      <c r="C18">
        <f t="shared" si="0"/>
        <v>18</v>
      </c>
      <c r="D18">
        <v>5037</v>
      </c>
      <c r="E18">
        <v>376</v>
      </c>
      <c r="F18" s="1">
        <f t="shared" si="1"/>
        <v>0.34365693865396069</v>
      </c>
      <c r="G18">
        <v>4139</v>
      </c>
      <c r="H18">
        <f>D18-G18</f>
        <v>898</v>
      </c>
      <c r="I18" s="3">
        <f>H18/D18</f>
        <v>0.17828072265237244</v>
      </c>
      <c r="J18" s="1"/>
      <c r="K18">
        <v>5009</v>
      </c>
      <c r="L18">
        <f t="shared" si="2"/>
        <v>28</v>
      </c>
      <c r="M18" s="2">
        <f t="shared" si="3"/>
        <v>5.5588644034147306E-3</v>
      </c>
    </row>
    <row r="19" spans="1:13" x14ac:dyDescent="0.25">
      <c r="A19">
        <v>1</v>
      </c>
      <c r="B19">
        <v>19</v>
      </c>
      <c r="C19">
        <f t="shared" si="0"/>
        <v>19</v>
      </c>
      <c r="D19">
        <v>5037</v>
      </c>
      <c r="E19">
        <v>376</v>
      </c>
      <c r="F19" s="1">
        <f t="shared" si="1"/>
        <v>0.41830454635695852</v>
      </c>
      <c r="G19">
        <v>4139</v>
      </c>
      <c r="H19">
        <f>D19-G19</f>
        <v>898</v>
      </c>
      <c r="I19" s="3">
        <f>H19/D19</f>
        <v>0.17828072265237244</v>
      </c>
      <c r="J19" s="1"/>
      <c r="K19">
        <v>5009</v>
      </c>
      <c r="L19">
        <f t="shared" si="2"/>
        <v>28</v>
      </c>
      <c r="M19" s="2">
        <f t="shared" si="3"/>
        <v>5.5588644034147306E-3</v>
      </c>
    </row>
    <row r="20" spans="1:13" x14ac:dyDescent="0.25">
      <c r="A20">
        <v>1</v>
      </c>
      <c r="B20">
        <v>20</v>
      </c>
      <c r="C20">
        <f t="shared" si="0"/>
        <v>20</v>
      </c>
      <c r="D20">
        <v>5037</v>
      </c>
      <c r="E20">
        <v>376</v>
      </c>
      <c r="F20" s="1">
        <f t="shared" si="1"/>
        <v>0.49295215405995635</v>
      </c>
      <c r="G20">
        <v>4097</v>
      </c>
      <c r="H20">
        <f>D20-G20</f>
        <v>940</v>
      </c>
      <c r="I20" s="3">
        <f>H20/D20</f>
        <v>0.18661901925749455</v>
      </c>
      <c r="J20" s="1"/>
      <c r="K20">
        <v>5009</v>
      </c>
      <c r="L20">
        <f t="shared" si="2"/>
        <v>28</v>
      </c>
      <c r="M20" s="2">
        <f t="shared" si="3"/>
        <v>5.5588644034147306E-3</v>
      </c>
    </row>
    <row r="21" spans="1:13" x14ac:dyDescent="0.25">
      <c r="A21">
        <v>1</v>
      </c>
      <c r="B21">
        <v>21</v>
      </c>
      <c r="C21">
        <f t="shared" si="0"/>
        <v>21</v>
      </c>
      <c r="D21">
        <v>5037</v>
      </c>
      <c r="E21">
        <v>376</v>
      </c>
      <c r="F21" s="1">
        <f t="shared" si="1"/>
        <v>0.56759976176295412</v>
      </c>
      <c r="G21">
        <v>4139</v>
      </c>
      <c r="H21">
        <f>D21-G21</f>
        <v>898</v>
      </c>
      <c r="I21" s="3">
        <f>H21/D21</f>
        <v>0.17828072265237244</v>
      </c>
      <c r="J21" s="1"/>
      <c r="K21">
        <v>5009</v>
      </c>
      <c r="L21">
        <f t="shared" si="2"/>
        <v>28</v>
      </c>
      <c r="M21" s="2">
        <f t="shared" si="3"/>
        <v>5.5588644034147306E-3</v>
      </c>
    </row>
    <row r="22" spans="1:13" x14ac:dyDescent="0.25">
      <c r="A22">
        <v>1</v>
      </c>
      <c r="B22">
        <v>22</v>
      </c>
      <c r="C22">
        <f t="shared" si="0"/>
        <v>22</v>
      </c>
      <c r="D22">
        <v>5037</v>
      </c>
      <c r="E22">
        <v>376</v>
      </c>
      <c r="F22" s="1">
        <f t="shared" si="1"/>
        <v>0.64224736946595196</v>
      </c>
      <c r="G22">
        <v>4139</v>
      </c>
      <c r="H22">
        <f>D22-G22</f>
        <v>898</v>
      </c>
      <c r="I22" s="3">
        <f>H22/D22</f>
        <v>0.17828072265237244</v>
      </c>
      <c r="J22" s="1"/>
      <c r="K22">
        <v>5009</v>
      </c>
      <c r="L22">
        <f t="shared" si="2"/>
        <v>28</v>
      </c>
      <c r="M22" s="2">
        <f t="shared" si="3"/>
        <v>5.5588644034147306E-3</v>
      </c>
    </row>
    <row r="23" spans="1:13" x14ac:dyDescent="0.25">
      <c r="A23">
        <v>1</v>
      </c>
      <c r="B23">
        <v>23</v>
      </c>
      <c r="C23">
        <f t="shared" si="0"/>
        <v>23</v>
      </c>
      <c r="D23">
        <v>5037</v>
      </c>
      <c r="E23">
        <v>376</v>
      </c>
      <c r="F23" s="1">
        <f t="shared" si="1"/>
        <v>0.71689497716894979</v>
      </c>
      <c r="G23">
        <v>4139</v>
      </c>
      <c r="H23">
        <f>D23-G23</f>
        <v>898</v>
      </c>
      <c r="I23" s="3">
        <f>H23/D23</f>
        <v>0.17828072265237244</v>
      </c>
      <c r="J23" s="1"/>
      <c r="K23">
        <v>5009</v>
      </c>
      <c r="L23">
        <f t="shared" si="2"/>
        <v>28</v>
      </c>
      <c r="M23" s="2">
        <f t="shared" si="3"/>
        <v>5.5588644034147306E-3</v>
      </c>
    </row>
    <row r="24" spans="1:13" x14ac:dyDescent="0.25">
      <c r="A24">
        <v>1</v>
      </c>
      <c r="B24">
        <v>24</v>
      </c>
      <c r="C24">
        <f t="shared" si="0"/>
        <v>24</v>
      </c>
      <c r="D24">
        <v>5037</v>
      </c>
      <c r="E24">
        <v>209</v>
      </c>
      <c r="F24" s="1">
        <f t="shared" si="1"/>
        <v>4.1691483025610484E-3</v>
      </c>
      <c r="G24">
        <v>4097</v>
      </c>
      <c r="H24">
        <f>D24-G24</f>
        <v>940</v>
      </c>
      <c r="I24" s="3">
        <f>H24/D24</f>
        <v>0.18661901925749455</v>
      </c>
      <c r="J24" s="1"/>
      <c r="K24">
        <v>5009</v>
      </c>
      <c r="L24">
        <f t="shared" si="2"/>
        <v>28</v>
      </c>
      <c r="M24" s="2">
        <f t="shared" si="3"/>
        <v>5.5588644034147306E-3</v>
      </c>
    </row>
    <row r="25" spans="1:13" x14ac:dyDescent="0.25">
      <c r="A25">
        <v>2</v>
      </c>
      <c r="B25">
        <v>24</v>
      </c>
      <c r="C25">
        <f t="shared" si="0"/>
        <v>48</v>
      </c>
      <c r="D25">
        <v>4059</v>
      </c>
      <c r="E25">
        <v>84</v>
      </c>
      <c r="F25" s="1">
        <f t="shared" si="1"/>
        <v>6.6518847006651885E-3</v>
      </c>
      <c r="G25">
        <v>4014</v>
      </c>
      <c r="H25">
        <f>D25-G25</f>
        <v>45</v>
      </c>
      <c r="I25" s="3">
        <f>H25/D25</f>
        <v>1.1086474501108648E-2</v>
      </c>
      <c r="J25" s="1"/>
      <c r="K25">
        <v>4039</v>
      </c>
      <c r="L25">
        <f t="shared" si="2"/>
        <v>20</v>
      </c>
      <c r="M25" s="2">
        <f t="shared" si="3"/>
        <v>4.9273220004927322E-3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3A3F-2CB8-4B0E-8EEE-29EA02A05924}">
  <dimension ref="A1:J4"/>
  <sheetViews>
    <sheetView workbookViewId="0">
      <selection activeCell="J6" sqref="J6"/>
    </sheetView>
  </sheetViews>
  <sheetFormatPr defaultRowHeight="15" x14ac:dyDescent="0.25"/>
  <cols>
    <col min="8" max="8" width="9.4257812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6</v>
      </c>
      <c r="G1" t="s">
        <v>7</v>
      </c>
      <c r="H1" t="s">
        <v>8</v>
      </c>
      <c r="I1" t="s">
        <v>9</v>
      </c>
    </row>
    <row r="2" spans="1:10" x14ac:dyDescent="0.25">
      <c r="A2">
        <v>2</v>
      </c>
      <c r="B2">
        <v>2258</v>
      </c>
      <c r="C2">
        <v>1923</v>
      </c>
      <c r="D2">
        <f>B2+C2</f>
        <v>4181</v>
      </c>
      <c r="E2">
        <v>4357</v>
      </c>
      <c r="F2">
        <v>1</v>
      </c>
      <c r="G2">
        <v>2</v>
      </c>
      <c r="H2">
        <v>12</v>
      </c>
      <c r="I2">
        <v>12</v>
      </c>
      <c r="J2">
        <f>B2*A2*(I2/H2)</f>
        <v>4516</v>
      </c>
    </row>
    <row r="3" spans="1:10" x14ac:dyDescent="0.25">
      <c r="A3">
        <v>2</v>
      </c>
      <c r="B3">
        <v>3428</v>
      </c>
      <c r="C3">
        <v>753</v>
      </c>
      <c r="D3">
        <f t="shared" ref="D3:D4" si="0">B3+C3</f>
        <v>4181</v>
      </c>
      <c r="E3">
        <v>4356</v>
      </c>
      <c r="F3">
        <v>1</v>
      </c>
      <c r="G3">
        <v>2</v>
      </c>
      <c r="H3">
        <v>4</v>
      </c>
      <c r="I3">
        <v>20</v>
      </c>
      <c r="J3">
        <f t="shared" ref="J3:J4" si="1">B3*A3*(I3/H3)</f>
        <v>34280</v>
      </c>
    </row>
    <row r="4" spans="1:10" x14ac:dyDescent="0.25">
      <c r="A4">
        <v>2</v>
      </c>
      <c r="B4">
        <v>3972</v>
      </c>
      <c r="C4">
        <v>209</v>
      </c>
      <c r="D4">
        <f t="shared" si="0"/>
        <v>4181</v>
      </c>
      <c r="E4">
        <v>5037</v>
      </c>
      <c r="F4">
        <v>1</v>
      </c>
      <c r="G4">
        <v>2</v>
      </c>
      <c r="H4">
        <v>1</v>
      </c>
      <c r="I4">
        <v>23</v>
      </c>
      <c r="J4">
        <f t="shared" si="1"/>
        <v>182712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Salazar-Vargas</dc:creator>
  <cp:lastModifiedBy>Andrey Salazar-Vargas</cp:lastModifiedBy>
  <dcterms:created xsi:type="dcterms:W3CDTF">2025-05-14T15:07:00Z</dcterms:created>
  <dcterms:modified xsi:type="dcterms:W3CDTF">2025-05-14T23:19:43Z</dcterms:modified>
</cp:coreProperties>
</file>